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<sst xmlns="http://schemas.openxmlformats.org/spreadsheetml/2006/main" count="236" uniqueCount="135">
  <si>
    <t xml:space="preserve">Table: 4</t>
  </si>
  <si>
    <t xml:space="preserve">Table: 25</t>
  </si>
  <si>
    <t xml:space="preserve">PM Peak Period Person Trips By Purpose</t>
  </si>
  <si>
    <t xml:space="preserve">Household Size by Sex of Householder</t>
  </si>
  <si>
    <t xml:space="preserve">Trip Purpose</t>
  </si>
  <si>
    <t xml:space="preserve">Trip Volumes</t>
  </si>
  <si>
    <t xml:space="preserve">%</t>
  </si>
  <si>
    <t xml:space="preserve">C-U</t>
  </si>
  <si>
    <t xml:space="preserve">COG</t>
  </si>
  <si>
    <t xml:space="preserve">Adj. COG</t>
  </si>
  <si>
    <t xml:space="preserve">Work-to-Home</t>
  </si>
  <si>
    <t xml:space="preserve">Chained Work Trips</t>
  </si>
  <si>
    <t xml:space="preserve">   Work-to-Other</t>
  </si>
  <si>
    <t xml:space="preserve">Male</t>
  </si>
  <si>
    <t xml:space="preserve">   Other-to-Home</t>
  </si>
  <si>
    <t xml:space="preserve">   Sub-Total </t>
  </si>
  <si>
    <t xml:space="preserve">Female</t>
  </si>
  <si>
    <t xml:space="preserve">   (Work-to-Other-to-Home)</t>
  </si>
  <si>
    <t xml:space="preserve">Afternoon Work Trips</t>
  </si>
  <si>
    <t xml:space="preserve">Total</t>
  </si>
  <si>
    <t xml:space="preserve">   (Home-to-Work)</t>
  </si>
  <si>
    <t xml:space="preserve">Nonwork Trips</t>
  </si>
  <si>
    <t xml:space="preserve">   Home-to-Other</t>
  </si>
  <si>
    <t xml:space="preserve">Table: 26</t>
  </si>
  <si>
    <t xml:space="preserve">   Other-to-Other</t>
  </si>
  <si>
    <t xml:space="preserve">Distribution of Household Head by Sex</t>
  </si>
  <si>
    <t xml:space="preserve">   Sub-Total</t>
  </si>
  <si>
    <t xml:space="preserve">TOTAL PERSON TRIPS</t>
  </si>
  <si>
    <t xml:space="preserve">CENSUS </t>
  </si>
  <si>
    <t xml:space="preserve">1980</t>
  </si>
  <si>
    <t xml:space="preserve">Source: 1987/88 Washington Metropolitian Council </t>
  </si>
  <si>
    <t xml:space="preserve">              of Governments Household Travel Survey </t>
  </si>
  <si>
    <t xml:space="preserve">Table 5:  Trip Coefficients by Purpose</t>
  </si>
  <si>
    <t xml:space="preserve">          (Afternoon Peak Period)</t>
  </si>
  <si>
    <t xml:space="preserve">Note:  C-U:  M-NCPPC Census Update Survey, 1987</t>
  </si>
  <si>
    <t xml:space="preserve">            COG:  1987 COG Household Survey</t>
  </si>
  <si>
    <t xml:space="preserve">            Ajd. COG:  Weight adjustment on COG Survey</t>
  </si>
  <si>
    <t xml:space="preserve">Variable</t>
  </si>
  <si>
    <t xml:space="preserve">Trip</t>
  </si>
  <si>
    <t xml:space="preserve">T-Stat.</t>
  </si>
  <si>
    <t xml:space="preserve">Adj.</t>
  </si>
  <si>
    <t xml:space="preserve">Table 27:</t>
  </si>
  <si>
    <t xml:space="preserve">Rate</t>
  </si>
  <si>
    <t xml:space="preserve">Distribution of Household Size</t>
  </si>
  <si>
    <t xml:space="preserve">No. of Persons</t>
  </si>
  <si>
    <t xml:space="preserve">Census</t>
  </si>
  <si>
    <t xml:space="preserve">OFFEMP</t>
  </si>
  <si>
    <t xml:space="preserve">(Origin end)</t>
  </si>
  <si>
    <t xml:space="preserve">OTHEMP</t>
  </si>
  <si>
    <t xml:space="preserve">RETEMP</t>
  </si>
  <si>
    <t xml:space="preserve">1</t>
  </si>
  <si>
    <t xml:space="preserve">2</t>
  </si>
  <si>
    <t xml:space="preserve">   Work-to-Other (Origin end)</t>
  </si>
  <si>
    <t xml:space="preserve">3</t>
  </si>
  <si>
    <t xml:space="preserve">4</t>
  </si>
  <si>
    <t xml:space="preserve">   Work-to-Other (Destination end)</t>
  </si>
  <si>
    <t xml:space="preserve">   POP</t>
  </si>
  <si>
    <t xml:space="preserve">5</t>
  </si>
  <si>
    <t xml:space="preserve">6</t>
  </si>
  <si>
    <t xml:space="preserve">   Other-to-Home (Origin end)</t>
  </si>
  <si>
    <t xml:space="preserve">  POP</t>
  </si>
  <si>
    <t xml:space="preserve">No. of HH</t>
  </si>
  <si>
    <t xml:space="preserve">   Home-to-Work (Destination end)</t>
  </si>
  <si>
    <t xml:space="preserve">Table: 2a</t>
  </si>
  <si>
    <t xml:space="preserve">Number of Male Headed Households and Female Headed Households</t>
  </si>
  <si>
    <t xml:space="preserve">by Family Size, and by Dwelling Type</t>
  </si>
  <si>
    <t xml:space="preserve">   Home-to-Other (Destination end)</t>
  </si>
  <si>
    <t xml:space="preserve">Single</t>
  </si>
  <si>
    <t xml:space="preserve">Town-</t>
  </si>
  <si>
    <t xml:space="preserve">Apt.</t>
  </si>
  <si>
    <t xml:space="preserve">Other</t>
  </si>
  <si>
    <t xml:space="preserve">Family</t>
  </si>
  <si>
    <t xml:space="preserve">house</t>
  </si>
  <si>
    <t xml:space="preserve">MALE</t>
  </si>
  <si>
    <t xml:space="preserve">   Other-to-Other (Both ends)</t>
  </si>
  <si>
    <t xml:space="preserve"> POP</t>
  </si>
  <si>
    <t xml:space="preserve">Adj.COG</t>
  </si>
  <si>
    <t xml:space="preserve">(49.0)</t>
  </si>
  <si>
    <t xml:space="preserve">(72.5)</t>
  </si>
  <si>
    <t xml:space="preserve">(9.2)</t>
  </si>
  <si>
    <t xml:space="preserve">Note:  Trip coefficients at the home end are calculated by a cross-</t>
  </si>
  <si>
    <t xml:space="preserve">       classification scheme based on household size, dwelling type, </t>
  </si>
  <si>
    <t xml:space="preserve">       and age.  Detailed tables can be obtained from the authors</t>
  </si>
  <si>
    <t xml:space="preserve">(31.9)</t>
  </si>
  <si>
    <t xml:space="preserve">(59.4)</t>
  </si>
  <si>
    <t xml:space="preserve">(-23.8)</t>
  </si>
  <si>
    <t xml:space="preserve">       on request.</t>
  </si>
  <si>
    <t xml:space="preserve">(45.9)</t>
  </si>
  <si>
    <t xml:space="preserve">(37.8)</t>
  </si>
  <si>
    <t xml:space="preserve">(-23.6)</t>
  </si>
  <si>
    <t xml:space="preserve">Table 6: PM Peak Period Normalization Assumptions</t>
  </si>
  <si>
    <t xml:space="preserve">4+</t>
  </si>
  <si>
    <t xml:space="preserve">Origin</t>
  </si>
  <si>
    <t xml:space="preserve">    Destination</t>
  </si>
  <si>
    <t xml:space="preserve">(62.0)</t>
  </si>
  <si>
    <t xml:space="preserve">(39.2)</t>
  </si>
  <si>
    <t xml:space="preserve">(-46.8)</t>
  </si>
  <si>
    <t xml:space="preserve">Adjusted </t>
  </si>
  <si>
    <t xml:space="preserve">Fixed</t>
  </si>
  <si>
    <t xml:space="preserve">Note 1:  C-U:  M-NCPPC Census Update Survey, 1987</t>
  </si>
  <si>
    <t xml:space="preserve">             COG:  1987 COG Household Survey</t>
  </si>
  <si>
    <t xml:space="preserve">             Adj. COG:  Weight adjustment on COG Survey</t>
  </si>
  <si>
    <t xml:space="preserve">Note 2:  Figures in parenthesis display the percentage change</t>
  </si>
  <si>
    <t xml:space="preserve">               before and after adjusting the weights</t>
  </si>
  <si>
    <t xml:space="preserve">Table: 2b</t>
  </si>
  <si>
    <t xml:space="preserve">(10.9)</t>
  </si>
  <si>
    <t xml:space="preserve">(43.5)</t>
  </si>
  <si>
    <t xml:space="preserve">(-11.0)</t>
  </si>
  <si>
    <t xml:space="preserve">(18.7)</t>
  </si>
  <si>
    <t xml:space="preserve">(-37.2)</t>
  </si>
  <si>
    <t xml:space="preserve">(-51.0)</t>
  </si>
  <si>
    <t xml:space="preserve">(-38.2)</t>
  </si>
  <si>
    <t xml:space="preserve">(-12.3)</t>
  </si>
  <si>
    <t xml:space="preserve">(-50.9)</t>
  </si>
  <si>
    <t xml:space="preserve">--</t>
  </si>
  <si>
    <t xml:space="preserve">(-14.8)</t>
  </si>
  <si>
    <t xml:space="preserve">(-45.2)</t>
  </si>
  <si>
    <t xml:space="preserve">(-65.7)</t>
  </si>
  <si>
    <t xml:space="preserve">Jurisdiction</t>
  </si>
  <si>
    <t xml:space="preserve">No. of Completed </t>
  </si>
  <si>
    <t xml:space="preserve">Household</t>
  </si>
  <si>
    <t xml:space="preserve">Sample</t>
  </si>
  <si>
    <t xml:space="preserve">      Samples</t>
  </si>
  <si>
    <t xml:space="preserve">Size</t>
  </si>
  <si>
    <t xml:space="preserve">(in '000)</t>
  </si>
  <si>
    <t xml:space="preserve">(%)</t>
  </si>
  <si>
    <t xml:space="preserve">District of Columbia</t>
  </si>
  <si>
    <t xml:space="preserve">Montgomery County</t>
  </si>
  <si>
    <t xml:space="preserve">Prince George's County</t>
  </si>
  <si>
    <t xml:space="preserve">Arlington County</t>
  </si>
  <si>
    <t xml:space="preserve">Alexandria County</t>
  </si>
  <si>
    <t xml:space="preserve">Fairfax County</t>
  </si>
  <si>
    <t xml:space="preserve">Loudoun County</t>
  </si>
  <si>
    <t xml:space="preserve">Prince William County</t>
  </si>
  <si>
    <t xml:space="preserve">Frederick County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</si>
</sst>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0"/>
    <numFmt numFmtId="167" formatCode="0.0"/>
    <numFmt numFmtId="168" formatCode="0.0000"/>
    <numFmt numFmtId="169" formatCode="0.000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0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3.78"/>
    <col collapsed="false" customWidth="true" hidden="false" outlineLevel="0" max="3" min="3" style="0" width="18.92"/>
    <col collapsed="false" customWidth="true" hidden="false" outlineLevel="0" max="4" min="4" style="0" width="12.61"/>
    <col collapsed="false" customWidth="true" hidden="false" outlineLevel="0" max="5" min="5" style="0" width="13.87"/>
    <col collapsed="false" customWidth="true" hidden="false" outlineLevel="0" max="6" min="6" style="0" width="11.35"/>
    <col collapsed="false" customWidth="true" hidden="false" outlineLevel="0" max="9" min="7" style="0" width="10.09"/>
    <col collapsed="false" customWidth="true" hidden="false" outlineLevel="0" max="10" min="10" style="0" width="2.52"/>
    <col collapsed="false" customWidth="true" hidden="false" outlineLevel="0" max="12" min="12" style="0" width="2.52"/>
    <col collapsed="false" customWidth="true" hidden="false" outlineLevel="0" max="13" min="13" style="0" width="15.13"/>
    <col collapsed="false" customWidth="true" hidden="false" outlineLevel="0" max="14" min="14" style="0" width="10.09"/>
    <col collapsed="false" customWidth="true" hidden="false" outlineLevel="0" max="15" min="15" style="0" width="11.35"/>
    <col collapsed="false" customWidth="true" hidden="false" outlineLevel="0" max="16" min="16" style="0" width="12.61"/>
    <col collapsed="false" customWidth="true" hidden="false" outlineLevel="0" max="18" min="17" style="0" width="11.35"/>
    <col collapsed="false" customWidth="true" hidden="false" outlineLevel="0" max="19" min="19" style="0" width="3.78"/>
  </cols>
  <sheetData>
    <row r="1" customFormat="false" ht="16" hidden="false" customHeight="true" outlineLevel="0" collapsed="false">
      <c r="C1" s="1" t="s">
        <v>0</v>
      </c>
      <c r="M1" s="1" t="s">
        <v>1</v>
      </c>
    </row>
    <row r="2" customFormat="false" ht="16" hidden="false" customHeight="true" outlineLevel="0" collapsed="false">
      <c r="C2" s="1" t="s">
        <v>2</v>
      </c>
      <c r="M2" s="1" t="s">
        <v>3</v>
      </c>
    </row>
    <row r="3" customFormat="false" ht="16" hidden="false" customHeight="true" outlineLevel="0" collapsed="false"/>
    <row r="4" customFormat="false" ht="16" hidden="false" customHeight="true" outlineLevel="0" collapsed="false"/>
    <row r="5" customFormat="false" ht="16" hidden="false" customHeight="true" outlineLevel="0" collapsed="false">
      <c r="C5" s="1" t="s">
        <v>4</v>
      </c>
      <c r="E5" s="2" t="s">
        <v>5</v>
      </c>
      <c r="G5" s="2" t="s">
        <v>6</v>
      </c>
      <c r="O5" s="3" t="s">
        <v>7</v>
      </c>
      <c r="P5" s="2" t="s">
        <v>8</v>
      </c>
      <c r="Q5" s="3" t="s">
        <v>9</v>
      </c>
    </row>
    <row r="6" customFormat="false" ht="16" hidden="false" customHeight="true" outlineLevel="0" collapsed="false"/>
    <row r="7" customFormat="false" ht="16" hidden="false" customHeight="true" outlineLevel="0" collapsed="false">
      <c r="A7" s="1"/>
      <c r="B7" s="1"/>
      <c r="C7" s="1" t="s">
        <v>10</v>
      </c>
      <c r="D7" s="1"/>
      <c r="E7" s="4" t="n">
        <v>768246</v>
      </c>
      <c r="F7" s="1"/>
      <c r="G7" s="5" t="n">
        <f aca="false">(E7/$E$23)*100</f>
        <v>28.889933</v>
      </c>
    </row>
    <row r="8" customFormat="false" ht="16" hidden="false" customHeight="true" outlineLevel="0" collapsed="false">
      <c r="A8" s="1"/>
      <c r="B8" s="1"/>
      <c r="C8" s="1" t="s">
        <v>11</v>
      </c>
      <c r="D8" s="1"/>
      <c r="E8" s="4"/>
      <c r="F8" s="1"/>
      <c r="G8" s="5"/>
    </row>
    <row r="9" customFormat="false" ht="16" hidden="false" customHeight="true" outlineLevel="0" collapsed="false">
      <c r="A9" s="1"/>
      <c r="B9" s="1"/>
      <c r="C9" s="1" t="s">
        <v>12</v>
      </c>
      <c r="D9" s="1"/>
      <c r="E9" s="4" t="n">
        <v>329409</v>
      </c>
      <c r="F9" s="1"/>
      <c r="G9" s="5" t="n">
        <f aca="false">(E9/$E$23)*100</f>
        <v>12.387443</v>
      </c>
      <c r="H9" s="1"/>
      <c r="I9" s="1"/>
      <c r="J9" s="1"/>
      <c r="K9" s="1"/>
      <c r="L9" s="1"/>
      <c r="M9" s="1"/>
      <c r="N9" s="1" t="s">
        <v>13</v>
      </c>
      <c r="O9" s="5" t="n">
        <v>2.94</v>
      </c>
      <c r="P9" s="5" t="n">
        <v>3.04</v>
      </c>
      <c r="Q9" s="5" t="n">
        <v>2.95</v>
      </c>
    </row>
    <row r="10" customFormat="false" ht="16" hidden="false" customHeight="true" outlineLevel="0" collapsed="false">
      <c r="A10" s="1"/>
      <c r="B10" s="1"/>
      <c r="C10" s="1" t="s">
        <v>14</v>
      </c>
      <c r="D10" s="1"/>
      <c r="E10" s="4" t="n">
        <v>307384</v>
      </c>
      <c r="F10" s="1"/>
      <c r="G10" s="5" t="n">
        <f aca="false">(E10/$E$23)*100</f>
        <v>11.559192</v>
      </c>
      <c r="H10" s="1"/>
      <c r="I10" s="1"/>
      <c r="J10" s="1"/>
      <c r="K10" s="1"/>
      <c r="L10" s="1"/>
      <c r="M10" s="1"/>
      <c r="N10" s="1"/>
      <c r="O10" s="5"/>
      <c r="P10" s="5"/>
      <c r="Q10" s="5"/>
    </row>
    <row r="11" customFormat="false" ht="16" hidden="false" customHeight="true" outlineLevel="0" collapsed="false">
      <c r="A11" s="1"/>
      <c r="B11" s="1"/>
      <c r="C11" s="1" t="s">
        <v>15</v>
      </c>
      <c r="D11" s="1"/>
      <c r="E11" s="4" t="n">
        <f aca="false">E9+E10</f>
        <v>636793</v>
      </c>
      <c r="F11" s="1"/>
      <c r="G11" s="5" t="n">
        <f aca="false">(E11/$E$23)*100</f>
        <v>23.946635</v>
      </c>
      <c r="H11" s="1"/>
      <c r="I11" s="1"/>
      <c r="J11" s="1"/>
      <c r="K11" s="1"/>
      <c r="L11" s="1"/>
      <c r="M11" s="1"/>
      <c r="N11" s="1" t="s">
        <v>16</v>
      </c>
      <c r="O11" s="5" t="n">
        <v>1.91</v>
      </c>
      <c r="P11" s="5" t="n">
        <v>1.74</v>
      </c>
      <c r="Q11" s="5" t="n">
        <v>1.9</v>
      </c>
    </row>
    <row r="12" customFormat="false" ht="16" hidden="false" customHeight="true" outlineLevel="0" collapsed="false">
      <c r="A12" s="1"/>
      <c r="B12" s="1"/>
      <c r="C12" s="1" t="s">
        <v>17</v>
      </c>
      <c r="D12" s="1"/>
      <c r="E12" s="4"/>
      <c r="F12" s="1"/>
      <c r="G12" s="5"/>
      <c r="H12" s="1"/>
      <c r="I12" s="1"/>
      <c r="J12" s="1"/>
      <c r="K12" s="1"/>
      <c r="L12" s="1"/>
      <c r="M12" s="1"/>
      <c r="N12" s="1"/>
      <c r="O12" s="5"/>
      <c r="P12" s="5"/>
      <c r="Q12" s="5"/>
    </row>
    <row r="13" customFormat="false" ht="16" hidden="false" customHeight="true" outlineLevel="0" collapsed="false">
      <c r="A13" s="1"/>
      <c r="B13" s="1"/>
      <c r="C13" s="1"/>
      <c r="D13" s="1"/>
      <c r="E13" s="4"/>
      <c r="F13" s="1"/>
      <c r="G13" s="5"/>
      <c r="H13" s="1"/>
      <c r="I13" s="1"/>
      <c r="J13" s="1"/>
      <c r="K13" s="1"/>
      <c r="L13" s="1"/>
      <c r="M13" s="1"/>
      <c r="N13" s="1"/>
      <c r="O13" s="5"/>
      <c r="P13" s="5"/>
      <c r="Q13" s="5"/>
    </row>
    <row r="14" customFormat="false" ht="16" hidden="false" customHeight="true" outlineLevel="0" collapsed="false">
      <c r="A14" s="1"/>
      <c r="B14" s="1"/>
      <c r="C14" s="1" t="s">
        <v>18</v>
      </c>
      <c r="D14" s="1"/>
      <c r="E14" s="4" t="n">
        <v>50668</v>
      </c>
      <c r="F14" s="1"/>
      <c r="G14" s="5" t="n">
        <f aca="false">(E14/$E$23)*100</f>
        <v>1.9053729</v>
      </c>
      <c r="H14" s="1"/>
      <c r="I14" s="1"/>
      <c r="J14" s="1"/>
      <c r="K14" s="1"/>
      <c r="L14" s="1"/>
      <c r="M14" s="1"/>
      <c r="N14" s="1" t="s">
        <v>19</v>
      </c>
      <c r="O14" s="5" t="n">
        <v>2.63</v>
      </c>
      <c r="P14" s="5" t="n">
        <v>2.75</v>
      </c>
      <c r="Q14" s="5" t="n">
        <v>2.63</v>
      </c>
    </row>
    <row r="15" customFormat="false" ht="16" hidden="false" customHeight="true" outlineLevel="0" collapsed="false">
      <c r="A15" s="1"/>
      <c r="B15" s="1"/>
      <c r="C15" s="1" t="s">
        <v>20</v>
      </c>
      <c r="D15" s="1"/>
      <c r="E15" s="4"/>
      <c r="F15" s="1"/>
      <c r="G15" s="5"/>
    </row>
    <row r="16" customFormat="false" ht="16" hidden="false" customHeight="true" outlineLevel="0" collapsed="false"/>
    <row r="17" customFormat="false" ht="16" hidden="false" customHeight="true" outlineLevel="0" collapsed="false">
      <c r="A17" s="1"/>
      <c r="B17" s="1"/>
      <c r="C17" s="1" t="s">
        <v>21</v>
      </c>
      <c r="D17" s="1"/>
      <c r="E17" s="4"/>
      <c r="F17" s="1"/>
      <c r="G17" s="5"/>
    </row>
    <row r="18" customFormat="false" ht="16" hidden="false" customHeight="true" outlineLevel="0" collapsed="false">
      <c r="A18" s="1"/>
      <c r="B18" s="1"/>
      <c r="C18" s="1" t="s">
        <v>22</v>
      </c>
      <c r="D18" s="1"/>
      <c r="E18" s="4" t="n">
        <v>409742</v>
      </c>
      <c r="F18" s="1"/>
      <c r="G18" s="5" t="n">
        <f aca="false">(E18/$E$23)*100</f>
        <v>15.40837</v>
      </c>
    </row>
    <row r="19" customFormat="false" ht="16" hidden="false" customHeight="true" outlineLevel="0" collapsed="false">
      <c r="A19" s="1"/>
      <c r="B19" s="1"/>
      <c r="C19" s="1" t="s">
        <v>14</v>
      </c>
      <c r="D19" s="1"/>
      <c r="E19" s="4" t="n">
        <v>535648</v>
      </c>
      <c r="F19" s="1"/>
      <c r="G19" s="5" t="n">
        <f aca="false">(E19/$E$23)*100</f>
        <v>20.143072</v>
      </c>
      <c r="M19" s="1" t="s">
        <v>23</v>
      </c>
    </row>
    <row r="20" customFormat="false" ht="16" hidden="false" customHeight="true" outlineLevel="0" collapsed="false">
      <c r="A20" s="1"/>
      <c r="B20" s="1"/>
      <c r="C20" s="1" t="s">
        <v>24</v>
      </c>
      <c r="D20" s="1"/>
      <c r="E20" s="4" t="n">
        <v>258120</v>
      </c>
      <c r="F20" s="1"/>
      <c r="G20" s="5" t="n">
        <f aca="false">(E20/$E$23)*100</f>
        <v>9.7066166</v>
      </c>
      <c r="M20" s="1" t="s">
        <v>25</v>
      </c>
    </row>
    <row r="21" customFormat="false" ht="16" hidden="false" customHeight="true" outlineLevel="0" collapsed="false">
      <c r="A21" s="1"/>
      <c r="B21" s="1"/>
      <c r="C21" s="1" t="s">
        <v>26</v>
      </c>
      <c r="D21" s="1"/>
      <c r="E21" s="4" t="n">
        <f aca="false">E18+E19+E20</f>
        <v>1203510</v>
      </c>
      <c r="F21" s="1"/>
      <c r="G21" s="5" t="n">
        <f aca="false">(E21/$E$23)*100</f>
        <v>45.258059</v>
      </c>
    </row>
    <row r="22" customFormat="false" ht="16" hidden="false" customHeight="true" outlineLevel="0" collapsed="false">
      <c r="A22" s="1"/>
      <c r="B22" s="1"/>
      <c r="C22" s="1"/>
      <c r="D22" s="1"/>
      <c r="E22" s="4"/>
      <c r="F22" s="1"/>
      <c r="G22" s="5"/>
    </row>
    <row r="23" customFormat="false" ht="16" hidden="false" customHeight="true" outlineLevel="0" collapsed="false">
      <c r="A23" s="1"/>
      <c r="B23" s="1"/>
      <c r="C23" s="1" t="s">
        <v>27</v>
      </c>
      <c r="D23" s="1"/>
      <c r="E23" s="4" t="n">
        <f aca="false">E7+E11+E14+E21</f>
        <v>2659217</v>
      </c>
      <c r="F23" s="1"/>
      <c r="G23" s="5" t="n">
        <f aca="false">(E23/$E$23)*100</f>
        <v>100</v>
      </c>
      <c r="N23" s="3" t="s">
        <v>7</v>
      </c>
      <c r="O23" s="3" t="s">
        <v>8</v>
      </c>
      <c r="P23" s="2" t="s">
        <v>28</v>
      </c>
      <c r="Q23" s="2" t="s">
        <v>9</v>
      </c>
    </row>
    <row r="24" customFormat="false" ht="16" hidden="false" customHeight="true" outlineLevel="0" collapsed="false">
      <c r="P24" s="2" t="s">
        <v>29</v>
      </c>
    </row>
    <row r="25" customFormat="false" ht="16" hidden="false" customHeight="true" outlineLevel="0" collapsed="false">
      <c r="C25" s="1" t="s">
        <v>30</v>
      </c>
    </row>
    <row r="26" customFormat="false" ht="16" hidden="false" customHeight="true" outlineLevel="0" collapsed="false">
      <c r="C26" s="1" t="s">
        <v>31</v>
      </c>
    </row>
    <row r="27" customFormat="false" ht="16" hidden="false" customHeight="true" outlineLevel="0" collapsed="false"/>
    <row r="28" customFormat="false" ht="16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 t="s">
        <v>13</v>
      </c>
      <c r="N28" s="6" t="n">
        <v>68</v>
      </c>
      <c r="O28" s="6" t="n">
        <v>73.4</v>
      </c>
      <c r="P28" s="6" t="n">
        <v>72.6</v>
      </c>
      <c r="Q28" s="6" t="n">
        <v>67.3</v>
      </c>
    </row>
    <row r="29" customFormat="false" ht="16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6"/>
      <c r="O29" s="6"/>
      <c r="P29" s="6"/>
      <c r="Q29" s="6"/>
    </row>
    <row r="30" customFormat="false" ht="16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 t="s">
        <v>16</v>
      </c>
      <c r="N30" s="6" t="n">
        <v>30.3</v>
      </c>
      <c r="O30" s="6" t="n">
        <v>21.5</v>
      </c>
      <c r="P30" s="6" t="n">
        <v>27.4</v>
      </c>
      <c r="Q30" s="6" t="n">
        <v>30.3</v>
      </c>
    </row>
    <row r="31" customFormat="false" ht="16" hidden="false" customHeight="true" outlineLevel="0" collapsed="false"/>
    <row r="32" customFormat="false" ht="16" hidden="false" customHeight="true" outlineLevel="0" collapsed="false">
      <c r="C32" s="1" t="s">
        <v>32</v>
      </c>
    </row>
    <row r="33" customFormat="false" ht="16" hidden="false" customHeight="true" outlineLevel="0" collapsed="false">
      <c r="C33" s="1" t="s">
        <v>33</v>
      </c>
      <c r="M33" s="1" t="s">
        <v>34</v>
      </c>
    </row>
    <row r="34" customFormat="false" ht="16" hidden="false" customHeight="true" outlineLevel="0" collapsed="false">
      <c r="M34" s="1" t="s">
        <v>35</v>
      </c>
    </row>
    <row r="35" customFormat="false" ht="16" hidden="false" customHeight="true" outlineLevel="0" collapsed="false">
      <c r="M35" s="1" t="s">
        <v>36</v>
      </c>
    </row>
    <row r="36" customFormat="false" ht="16" hidden="false" customHeight="true" outlineLevel="0" collapsed="false"/>
    <row r="37" customFormat="false" ht="16" hidden="false" customHeight="true" outlineLevel="0" collapsed="false"/>
    <row r="38" customFormat="false" ht="16" hidden="false" customHeight="true" outlineLevel="0" collapsed="false">
      <c r="F38" s="1" t="s">
        <v>37</v>
      </c>
      <c r="G38" s="2" t="s">
        <v>38</v>
      </c>
      <c r="H38" s="2" t="s">
        <v>39</v>
      </c>
      <c r="I38" s="2" t="s">
        <v>40</v>
      </c>
      <c r="M38" s="1" t="s">
        <v>41</v>
      </c>
    </row>
    <row r="39" customFormat="false" ht="16" hidden="false" customHeight="true" outlineLevel="0" collapsed="false">
      <c r="G39" s="2" t="s">
        <v>42</v>
      </c>
      <c r="I39" s="2" t="s">
        <v>42</v>
      </c>
      <c r="M39" s="1" t="s">
        <v>43</v>
      </c>
    </row>
    <row r="40" customFormat="false" ht="16" hidden="false" customHeight="true" outlineLevel="0" collapsed="false"/>
    <row r="41" customFormat="false" ht="16" hidden="false" customHeight="true" outlineLevel="0" collapsed="false"/>
    <row r="42" customFormat="false" ht="16" hidden="false" customHeight="true" outlineLevel="0" collapsed="false">
      <c r="M42" s="1" t="s">
        <v>44</v>
      </c>
      <c r="N42" s="3" t="s">
        <v>7</v>
      </c>
      <c r="O42" s="3" t="s">
        <v>8</v>
      </c>
      <c r="P42" s="3" t="s">
        <v>45</v>
      </c>
      <c r="Q42" s="3" t="s">
        <v>9</v>
      </c>
    </row>
    <row r="43" customFormat="false" ht="16" hidden="false" customHeight="true" outlineLevel="0" collapsed="false">
      <c r="A43" s="1"/>
      <c r="B43" s="1"/>
      <c r="C43" s="1" t="s">
        <v>10</v>
      </c>
      <c r="D43" s="1"/>
      <c r="E43" s="1"/>
      <c r="F43" s="1" t="s">
        <v>46</v>
      </c>
      <c r="G43" s="1" t="n">
        <v>0.5</v>
      </c>
      <c r="H43" s="1" t="n">
        <v>22.42</v>
      </c>
      <c r="I43" s="5" t="n">
        <v>0.5</v>
      </c>
      <c r="P43" s="3" t="s">
        <v>29</v>
      </c>
    </row>
    <row r="44" customFormat="false" ht="16" hidden="false" customHeight="true" outlineLevel="0" collapsed="false">
      <c r="A44" s="1"/>
      <c r="B44" s="1"/>
      <c r="C44" s="1" t="s">
        <v>47</v>
      </c>
      <c r="D44" s="1"/>
      <c r="E44" s="1"/>
      <c r="F44" s="1" t="s">
        <v>48</v>
      </c>
      <c r="G44" s="1" t="n">
        <v>0.355</v>
      </c>
      <c r="H44" s="1" t="n">
        <v>3.95</v>
      </c>
      <c r="I44" s="5" t="n">
        <v>0.35</v>
      </c>
    </row>
    <row r="45" customFormat="false" ht="16" hidden="false" customHeight="true" outlineLevel="0" collapsed="false">
      <c r="A45" s="1"/>
      <c r="B45" s="1"/>
      <c r="C45" s="1"/>
      <c r="D45" s="1"/>
      <c r="E45" s="1"/>
      <c r="F45" s="1" t="s">
        <v>49</v>
      </c>
      <c r="G45" s="1" t="n">
        <v>0.094</v>
      </c>
      <c r="H45" s="1" t="n">
        <v>0.47</v>
      </c>
      <c r="I45" s="5" t="n">
        <v>0.1</v>
      </c>
      <c r="J45" s="1"/>
      <c r="K45" s="1"/>
      <c r="L45" s="1"/>
      <c r="M45" s="1"/>
      <c r="N45" s="1"/>
      <c r="O45" s="1"/>
      <c r="P45" s="1"/>
      <c r="Q45" s="1"/>
      <c r="R45" s="6"/>
    </row>
    <row r="46" customFormat="false" ht="16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5"/>
      <c r="J46" s="1"/>
      <c r="K46" s="1"/>
      <c r="L46" s="1"/>
      <c r="M46" s="2" t="s">
        <v>50</v>
      </c>
      <c r="N46" s="6" t="n">
        <v>21.5</v>
      </c>
      <c r="O46" s="6" t="n">
        <v>20.2</v>
      </c>
      <c r="P46" s="6" t="n">
        <v>21</v>
      </c>
      <c r="Q46" s="6" t="n">
        <v>21.3</v>
      </c>
      <c r="R46" s="6"/>
    </row>
    <row r="47" customFormat="false" ht="16" hidden="false" customHeight="true" outlineLevel="0" collapsed="false">
      <c r="A47" s="1"/>
      <c r="B47" s="1"/>
      <c r="C47" s="1" t="s">
        <v>11</v>
      </c>
      <c r="D47" s="1"/>
      <c r="E47" s="1"/>
      <c r="F47" s="1" t="s">
        <v>46</v>
      </c>
      <c r="G47" s="1" t="n">
        <v>0.193</v>
      </c>
      <c r="H47" s="1" t="n">
        <v>20.08</v>
      </c>
      <c r="I47" s="5" t="n">
        <v>0.19</v>
      </c>
      <c r="J47" s="1"/>
      <c r="K47" s="1"/>
      <c r="L47" s="1"/>
      <c r="M47" s="2" t="s">
        <v>51</v>
      </c>
      <c r="N47" s="6" t="n">
        <v>34</v>
      </c>
      <c r="O47" s="6" t="n">
        <v>31.4</v>
      </c>
      <c r="P47" s="6" t="n">
        <v>30.8</v>
      </c>
      <c r="Q47" s="6" t="n">
        <v>34.2</v>
      </c>
      <c r="R47" s="6"/>
    </row>
    <row r="48" customFormat="false" ht="16" hidden="false" customHeight="true" outlineLevel="0" collapsed="false">
      <c r="A48" s="1"/>
      <c r="B48" s="1"/>
      <c r="C48" s="1" t="s">
        <v>52</v>
      </c>
      <c r="D48" s="1"/>
      <c r="E48" s="1"/>
      <c r="F48" s="1" t="s">
        <v>48</v>
      </c>
      <c r="G48" s="1" t="n">
        <v>0.156</v>
      </c>
      <c r="H48" s="1" t="n">
        <v>4.02</v>
      </c>
      <c r="I48" s="5" t="n">
        <v>0.16</v>
      </c>
      <c r="J48" s="1"/>
      <c r="K48" s="1"/>
      <c r="L48" s="1"/>
      <c r="M48" s="2" t="s">
        <v>53</v>
      </c>
      <c r="N48" s="6" t="n">
        <v>18.6</v>
      </c>
      <c r="O48" s="6" t="n">
        <v>18.2</v>
      </c>
      <c r="P48" s="6" t="n">
        <v>18.3</v>
      </c>
      <c r="Q48" s="6" t="n">
        <v>18.6</v>
      </c>
      <c r="R48" s="6"/>
    </row>
    <row r="49" customFormat="false" ht="16" hidden="false" customHeight="true" outlineLevel="0" collapsed="false">
      <c r="A49" s="1"/>
      <c r="B49" s="1"/>
      <c r="C49" s="1"/>
      <c r="D49" s="1"/>
      <c r="E49" s="1"/>
      <c r="F49" s="1" t="s">
        <v>49</v>
      </c>
      <c r="G49" s="1" t="n">
        <v>0.011</v>
      </c>
      <c r="H49" s="1" t="n">
        <v>0.14</v>
      </c>
      <c r="I49" s="5" t="n">
        <v>0.01</v>
      </c>
      <c r="J49" s="1"/>
      <c r="K49" s="1"/>
      <c r="L49" s="1"/>
      <c r="M49" s="2" t="s">
        <v>54</v>
      </c>
      <c r="N49" s="6" t="n">
        <v>16.9</v>
      </c>
      <c r="O49" s="6" t="n">
        <v>18.3</v>
      </c>
      <c r="P49" s="6" t="n">
        <v>17.1</v>
      </c>
      <c r="Q49" s="6" t="n">
        <v>15.8</v>
      </c>
      <c r="R49" s="6"/>
    </row>
    <row r="50" customFormat="false" ht="16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5"/>
      <c r="J50" s="1"/>
      <c r="K50" s="1"/>
      <c r="L50" s="1"/>
      <c r="M50" s="1"/>
      <c r="N50" s="6"/>
      <c r="O50" s="6"/>
      <c r="P50" s="6"/>
      <c r="Q50" s="6"/>
      <c r="R50" s="6"/>
    </row>
    <row r="51" customFormat="false" ht="16" hidden="false" customHeight="true" outlineLevel="0" collapsed="false">
      <c r="A51" s="1"/>
      <c r="B51" s="1"/>
      <c r="C51" s="1" t="s">
        <v>55</v>
      </c>
      <c r="D51" s="1"/>
      <c r="E51" s="1"/>
      <c r="F51" s="1" t="s">
        <v>56</v>
      </c>
      <c r="G51" s="1" t="n">
        <v>0.031</v>
      </c>
      <c r="H51" s="1" t="n">
        <v>3.2</v>
      </c>
      <c r="I51" s="5" t="n">
        <v>0.03</v>
      </c>
      <c r="J51" s="1"/>
      <c r="K51" s="1"/>
      <c r="L51" s="1"/>
      <c r="M51" s="2" t="s">
        <v>57</v>
      </c>
      <c r="N51" s="6" t="n">
        <v>6.4</v>
      </c>
      <c r="O51" s="6" t="n">
        <v>8.3</v>
      </c>
      <c r="P51" s="6" t="n">
        <v>8.4</v>
      </c>
      <c r="Q51" s="6" t="n">
        <v>7.2</v>
      </c>
      <c r="R51" s="6"/>
    </row>
    <row r="52" customFormat="false" ht="16" hidden="false" customHeight="true" outlineLevel="0" collapsed="false">
      <c r="A52" s="1"/>
      <c r="B52" s="1"/>
      <c r="C52" s="1"/>
      <c r="D52" s="1"/>
      <c r="E52" s="1"/>
      <c r="F52" s="1" t="s">
        <v>49</v>
      </c>
      <c r="G52" s="1" t="n">
        <v>0.557</v>
      </c>
      <c r="H52" s="1" t="n">
        <v>6.04</v>
      </c>
      <c r="I52" s="5" t="n">
        <v>0.56</v>
      </c>
      <c r="J52" s="1"/>
      <c r="K52" s="1"/>
      <c r="L52" s="1"/>
      <c r="M52" s="2" t="s">
        <v>58</v>
      </c>
      <c r="N52" s="6" t="n">
        <v>2.6</v>
      </c>
      <c r="O52" s="6" t="n">
        <v>3.6</v>
      </c>
      <c r="P52" s="6" t="n">
        <v>4.5</v>
      </c>
      <c r="Q52" s="6" t="n">
        <v>2.9</v>
      </c>
    </row>
    <row r="53" customFormat="false" ht="16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5"/>
    </row>
    <row r="54" customFormat="false" ht="16" hidden="false" customHeight="true" outlineLevel="0" collapsed="false">
      <c r="A54" s="1"/>
      <c r="B54" s="1"/>
      <c r="C54" s="1" t="s">
        <v>59</v>
      </c>
      <c r="D54" s="1"/>
      <c r="E54" s="1"/>
      <c r="F54" s="1" t="s">
        <v>60</v>
      </c>
      <c r="G54" s="1" t="n">
        <v>0.032</v>
      </c>
      <c r="H54" s="1" t="n">
        <v>3.26</v>
      </c>
      <c r="I54" s="5" t="n">
        <v>0.03</v>
      </c>
      <c r="M54" s="1" t="s">
        <v>61</v>
      </c>
      <c r="N54" s="1" t="n">
        <v>257558</v>
      </c>
      <c r="O54" s="1" t="n">
        <v>313637</v>
      </c>
      <c r="P54" s="1" t="n">
        <v>207319</v>
      </c>
      <c r="Q54" s="1" t="n">
        <v>250930</v>
      </c>
    </row>
    <row r="55" customFormat="false" ht="16" hidden="false" customHeight="true" outlineLevel="0" collapsed="false">
      <c r="A55" s="1"/>
      <c r="B55" s="1"/>
      <c r="C55" s="1"/>
      <c r="D55" s="1"/>
      <c r="E55" s="1"/>
      <c r="F55" s="1" t="s">
        <v>49</v>
      </c>
      <c r="G55" s="1" t="n">
        <v>0.485</v>
      </c>
      <c r="H55" s="1" t="n">
        <v>5.04</v>
      </c>
      <c r="I55" s="5" t="n">
        <v>0.49</v>
      </c>
    </row>
    <row r="56" customFormat="false" ht="16" hidden="false" customHeight="true" outlineLevel="0" collapsed="false">
      <c r="A56" s="1"/>
      <c r="B56" s="1"/>
      <c r="C56" s="1" t="s">
        <v>18</v>
      </c>
      <c r="D56" s="1"/>
      <c r="E56" s="1"/>
      <c r="F56" s="1"/>
      <c r="G56" s="1"/>
      <c r="H56" s="1"/>
      <c r="I56" s="5"/>
    </row>
    <row r="57" customFormat="false" ht="16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5"/>
    </row>
    <row r="58" customFormat="false" ht="16" hidden="false" customHeight="true" outlineLevel="0" collapsed="false">
      <c r="A58" s="1"/>
      <c r="B58" s="1"/>
      <c r="C58" s="1" t="s">
        <v>62</v>
      </c>
      <c r="D58" s="1"/>
      <c r="E58" s="1"/>
      <c r="F58" s="1" t="s">
        <v>46</v>
      </c>
      <c r="G58" s="1" t="n">
        <v>0.003</v>
      </c>
      <c r="H58" s="1"/>
      <c r="I58" s="5" t="n">
        <v>0.003</v>
      </c>
    </row>
    <row r="59" customFormat="false" ht="16" hidden="false" customHeight="true" outlineLevel="0" collapsed="false">
      <c r="A59" s="1"/>
      <c r="B59" s="1"/>
      <c r="C59" s="1"/>
      <c r="D59" s="1"/>
      <c r="E59" s="1"/>
      <c r="F59" s="1" t="s">
        <v>48</v>
      </c>
      <c r="G59" s="1" t="n">
        <v>0.007</v>
      </c>
      <c r="H59" s="1"/>
      <c r="I59" s="5" t="n">
        <v>0.007</v>
      </c>
      <c r="M59" s="1" t="s">
        <v>63</v>
      </c>
    </row>
    <row r="60" customFormat="false" ht="16" hidden="false" customHeight="true" outlineLevel="0" collapsed="false">
      <c r="A60" s="1"/>
      <c r="B60" s="1"/>
      <c r="C60" s="1"/>
      <c r="D60" s="1"/>
      <c r="E60" s="1"/>
      <c r="F60" s="1" t="s">
        <v>49</v>
      </c>
      <c r="G60" s="1" t="n">
        <v>0.135</v>
      </c>
      <c r="H60" s="1"/>
      <c r="I60" s="5" t="n">
        <v>0.135</v>
      </c>
      <c r="M60" s="1" t="s">
        <v>64</v>
      </c>
    </row>
    <row r="61" customFormat="false" ht="16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5"/>
      <c r="M61" s="1" t="s">
        <v>65</v>
      </c>
    </row>
    <row r="62" customFormat="false" ht="16" hidden="false" customHeight="true" outlineLevel="0" collapsed="false">
      <c r="A62" s="1"/>
      <c r="B62" s="1"/>
      <c r="C62" s="1" t="s">
        <v>21</v>
      </c>
      <c r="D62" s="1"/>
      <c r="E62" s="1"/>
      <c r="F62" s="1"/>
      <c r="G62" s="1"/>
      <c r="H62" s="1"/>
      <c r="I62" s="5"/>
    </row>
    <row r="63" customFormat="false" ht="16" hidden="false" customHeight="true" outlineLevel="0" collapsed="false">
      <c r="A63" s="1"/>
      <c r="B63" s="1"/>
      <c r="C63" s="1" t="s">
        <v>66</v>
      </c>
      <c r="D63" s="1"/>
      <c r="E63" s="1"/>
      <c r="F63" s="1" t="s">
        <v>49</v>
      </c>
      <c r="G63" s="1" t="n">
        <v>0.215</v>
      </c>
      <c r="H63" s="1" t="n">
        <v>1.83</v>
      </c>
      <c r="I63" s="5" t="n">
        <v>1.1</v>
      </c>
    </row>
    <row r="64" customFormat="false" ht="16" hidden="false" customHeight="true" outlineLevel="0" collapsed="false">
      <c r="A64" s="1"/>
      <c r="B64" s="1"/>
      <c r="C64" s="1"/>
      <c r="D64" s="1"/>
      <c r="E64" s="1"/>
      <c r="F64" s="1" t="s">
        <v>60</v>
      </c>
      <c r="G64" s="1" t="n">
        <v>0.103</v>
      </c>
      <c r="H64" s="1" t="n">
        <v>7.49</v>
      </c>
      <c r="I64" s="5" t="n">
        <v>0.1</v>
      </c>
      <c r="M64" s="1" t="s">
        <v>44</v>
      </c>
      <c r="O64" s="2" t="s">
        <v>67</v>
      </c>
      <c r="P64" s="2" t="s">
        <v>68</v>
      </c>
      <c r="Q64" s="2" t="s">
        <v>69</v>
      </c>
      <c r="R64" s="2" t="s">
        <v>70</v>
      </c>
    </row>
    <row r="65" customFormat="false" ht="16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5"/>
      <c r="O65" s="2" t="s">
        <v>71</v>
      </c>
      <c r="P65" s="2" t="s">
        <v>72</v>
      </c>
    </row>
    <row r="66" customFormat="false" ht="16" hidden="false" customHeight="true" outlineLevel="0" collapsed="false">
      <c r="A66" s="1"/>
      <c r="B66" s="1"/>
      <c r="C66" s="1" t="s">
        <v>59</v>
      </c>
      <c r="D66" s="1"/>
      <c r="E66" s="1"/>
      <c r="F66" s="1" t="s">
        <v>49</v>
      </c>
      <c r="G66" s="1" t="n">
        <v>0.224</v>
      </c>
      <c r="H66" s="1" t="n">
        <v>1.93</v>
      </c>
      <c r="I66" s="5" t="n">
        <v>1.1</v>
      </c>
    </row>
    <row r="67" customFormat="false" ht="16" hidden="false" customHeight="true" outlineLevel="0" collapsed="false">
      <c r="A67" s="1"/>
      <c r="B67" s="1"/>
      <c r="C67" s="1"/>
      <c r="D67" s="1"/>
      <c r="E67" s="1"/>
      <c r="F67" s="1" t="s">
        <v>60</v>
      </c>
      <c r="G67" s="1" t="n">
        <v>0.135</v>
      </c>
      <c r="H67" s="1" t="n">
        <v>10.52</v>
      </c>
      <c r="I67" s="5" t="n">
        <v>0.14</v>
      </c>
    </row>
    <row r="68" customFormat="false" ht="16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5"/>
      <c r="M68" s="1" t="s">
        <v>73</v>
      </c>
    </row>
    <row r="69" customFormat="false" ht="16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5"/>
    </row>
    <row r="70" customFormat="false" ht="16" hidden="false" customHeight="true" outlineLevel="0" collapsed="false">
      <c r="A70" s="1"/>
      <c r="B70" s="1"/>
      <c r="C70" s="1" t="s">
        <v>74</v>
      </c>
      <c r="D70" s="1"/>
      <c r="E70" s="1"/>
      <c r="F70" s="1" t="s">
        <v>49</v>
      </c>
      <c r="G70" s="1" t="n">
        <v>0.198</v>
      </c>
      <c r="H70" s="1" t="n">
        <v>4.41</v>
      </c>
      <c r="I70" s="5" t="n">
        <v>3.2</v>
      </c>
      <c r="M70" s="2" t="s">
        <v>50</v>
      </c>
      <c r="N70" s="1" t="s">
        <v>7</v>
      </c>
      <c r="O70" s="1" t="n">
        <v>4512</v>
      </c>
      <c r="P70" s="1" t="n">
        <v>2587</v>
      </c>
      <c r="Q70" s="1" t="n">
        <v>10300</v>
      </c>
    </row>
    <row r="71" customFormat="false" ht="16" hidden="false" customHeight="true" outlineLevel="0" collapsed="false">
      <c r="A71" s="1"/>
      <c r="B71" s="1"/>
      <c r="C71" s="1"/>
      <c r="D71" s="1"/>
      <c r="E71" s="1"/>
      <c r="F71" s="1" t="s">
        <v>75</v>
      </c>
      <c r="G71" s="1" t="n">
        <v>0.05</v>
      </c>
      <c r="H71" s="1" t="n">
        <v>10.75</v>
      </c>
      <c r="I71" s="5" t="n">
        <v>0.05</v>
      </c>
      <c r="N71" s="1" t="s">
        <v>8</v>
      </c>
      <c r="O71" s="1" t="n">
        <v>6386</v>
      </c>
      <c r="P71" s="1" t="n">
        <v>4250</v>
      </c>
      <c r="Q71" s="1" t="n">
        <v>10756</v>
      </c>
      <c r="R71" s="1" t="n">
        <v>2099</v>
      </c>
    </row>
    <row r="72" customFormat="false" ht="16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5"/>
      <c r="N72" s="1" t="s">
        <v>76</v>
      </c>
      <c r="O72" s="1" t="n">
        <v>4285</v>
      </c>
      <c r="P72" s="1" t="n">
        <v>2463</v>
      </c>
      <c r="Q72" s="1" t="n">
        <v>9798</v>
      </c>
      <c r="R72" s="1" t="n">
        <v>879</v>
      </c>
    </row>
    <row r="73" customFormat="false" ht="16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5"/>
      <c r="O73" s="3" t="s">
        <v>77</v>
      </c>
      <c r="P73" s="3" t="s">
        <v>78</v>
      </c>
      <c r="Q73" s="3" t="s">
        <v>79</v>
      </c>
    </row>
    <row r="74" customFormat="false" ht="16" hidden="false" customHeight="true" outlineLevel="0" collapsed="false"/>
    <row r="75" customFormat="false" ht="16" hidden="false" customHeight="true" outlineLevel="0" collapsed="false">
      <c r="M75" s="2" t="s">
        <v>51</v>
      </c>
      <c r="N75" s="1" t="s">
        <v>7</v>
      </c>
      <c r="O75" s="1" t="n">
        <v>38084</v>
      </c>
      <c r="P75" s="1" t="n">
        <v>8818</v>
      </c>
      <c r="Q75" s="1" t="n">
        <v>15381</v>
      </c>
    </row>
    <row r="76" customFormat="false" ht="16" hidden="false" customHeight="true" outlineLevel="0" collapsed="false">
      <c r="C76" s="1" t="s">
        <v>80</v>
      </c>
      <c r="N76" s="1" t="s">
        <v>8</v>
      </c>
      <c r="O76" s="1" t="n">
        <v>47744</v>
      </c>
      <c r="P76" s="1" t="n">
        <v>13390</v>
      </c>
      <c r="Q76" s="1" t="n">
        <v>1151</v>
      </c>
      <c r="R76" s="1" t="n">
        <v>2308</v>
      </c>
    </row>
    <row r="77" customFormat="false" ht="16" hidden="false" customHeight="true" outlineLevel="0" collapsed="false">
      <c r="C77" s="1" t="s">
        <v>81</v>
      </c>
      <c r="N77" s="1" t="s">
        <v>76</v>
      </c>
      <c r="O77" s="1" t="n">
        <v>36194</v>
      </c>
      <c r="P77" s="1" t="n">
        <v>8398</v>
      </c>
      <c r="Q77" s="1" t="n">
        <v>14634</v>
      </c>
      <c r="R77" s="1" t="n">
        <v>962</v>
      </c>
    </row>
    <row r="78" customFormat="false" ht="16" hidden="false" customHeight="true" outlineLevel="0" collapsed="false">
      <c r="C78" s="1" t="s">
        <v>82</v>
      </c>
      <c r="O78" s="3" t="s">
        <v>83</v>
      </c>
      <c r="P78" s="3" t="s">
        <v>84</v>
      </c>
      <c r="Q78" s="3" t="s">
        <v>85</v>
      </c>
    </row>
    <row r="79" customFormat="false" ht="16" hidden="false" customHeight="true" outlineLevel="0" collapsed="false">
      <c r="C79" s="1" t="s">
        <v>86</v>
      </c>
    </row>
    <row r="80" customFormat="false" ht="16" hidden="false" customHeight="true" outlineLevel="0" collapsed="false">
      <c r="M80" s="2" t="s">
        <v>53</v>
      </c>
      <c r="N80" s="1" t="s">
        <v>7</v>
      </c>
      <c r="O80" s="1" t="n">
        <v>24684</v>
      </c>
      <c r="P80" s="1" t="n">
        <v>6309</v>
      </c>
      <c r="Q80" s="1" t="n">
        <v>5522</v>
      </c>
    </row>
    <row r="81" customFormat="false" ht="16" hidden="false" customHeight="true" outlineLevel="0" collapsed="false">
      <c r="N81" s="1" t="s">
        <v>8</v>
      </c>
      <c r="O81" s="1" t="n">
        <v>34296</v>
      </c>
      <c r="P81" s="1" t="n">
        <v>8282</v>
      </c>
      <c r="Q81" s="1" t="n">
        <v>4017</v>
      </c>
      <c r="R81" s="1" t="n">
        <v>919</v>
      </c>
    </row>
    <row r="82" customFormat="false" ht="16" hidden="false" customHeight="true" outlineLevel="0" collapsed="false">
      <c r="N82" s="1" t="s">
        <v>76</v>
      </c>
      <c r="O82" s="1" t="n">
        <v>23508</v>
      </c>
      <c r="P82" s="1" t="n">
        <v>6008</v>
      </c>
      <c r="Q82" s="1" t="n">
        <v>5259</v>
      </c>
      <c r="R82" s="1" t="n">
        <v>287</v>
      </c>
    </row>
    <row r="83" customFormat="false" ht="16" hidden="false" customHeight="true" outlineLevel="0" collapsed="false">
      <c r="O83" s="3" t="s">
        <v>87</v>
      </c>
      <c r="P83" s="3" t="s">
        <v>88</v>
      </c>
      <c r="Q83" s="3" t="s">
        <v>89</v>
      </c>
    </row>
    <row r="84" customFormat="false" ht="16" hidden="false" customHeight="true" outlineLevel="0" collapsed="false"/>
    <row r="85" customFormat="false" ht="16" hidden="false" customHeight="true" outlineLevel="0" collapsed="false">
      <c r="C85" s="1" t="s">
        <v>90</v>
      </c>
      <c r="M85" s="2" t="s">
        <v>91</v>
      </c>
      <c r="N85" s="1" t="s">
        <v>7</v>
      </c>
      <c r="O85" s="1" t="n">
        <v>46009</v>
      </c>
      <c r="P85" s="1" t="n">
        <v>7998</v>
      </c>
      <c r="Q85" s="1" t="n">
        <v>4882</v>
      </c>
    </row>
    <row r="86" customFormat="false" ht="16" hidden="false" customHeight="true" outlineLevel="0" collapsed="false">
      <c r="N86" s="1" t="s">
        <v>8</v>
      </c>
      <c r="O86" s="1" t="n">
        <v>70938</v>
      </c>
      <c r="P86" s="1" t="n">
        <v>10602</v>
      </c>
      <c r="Q86" s="1" t="n">
        <v>2473</v>
      </c>
      <c r="R86" s="1" t="n">
        <v>451</v>
      </c>
    </row>
    <row r="87" customFormat="false" ht="16" hidden="false" customHeight="true" outlineLevel="0" collapsed="false">
      <c r="N87" s="1" t="s">
        <v>76</v>
      </c>
      <c r="O87" s="1" t="n">
        <v>43781</v>
      </c>
      <c r="P87" s="1" t="n">
        <v>7615</v>
      </c>
      <c r="Q87" s="1" t="n">
        <v>4648</v>
      </c>
      <c r="R87" s="1" t="n">
        <v>155</v>
      </c>
    </row>
    <row r="88" customFormat="false" ht="16" hidden="false" customHeight="true" outlineLevel="0" collapsed="false">
      <c r="C88" s="1" t="s">
        <v>4</v>
      </c>
      <c r="F88" s="2" t="s">
        <v>92</v>
      </c>
      <c r="G88" s="2" t="s">
        <v>93</v>
      </c>
      <c r="O88" s="3" t="s">
        <v>94</v>
      </c>
      <c r="P88" s="3" t="s">
        <v>95</v>
      </c>
      <c r="Q88" s="3" t="s">
        <v>96</v>
      </c>
    </row>
    <row r="89" customFormat="false" ht="16" hidden="false" customHeight="true" outlineLevel="0" collapsed="false"/>
    <row r="90" customFormat="false" ht="16" hidden="false" customHeight="true" outlineLevel="0" collapsed="false">
      <c r="C90" s="1" t="s">
        <v>10</v>
      </c>
      <c r="F90" s="1" t="s">
        <v>97</v>
      </c>
      <c r="H90" s="1" t="s">
        <v>98</v>
      </c>
    </row>
    <row r="91" customFormat="false" ht="16" hidden="false" customHeight="true" outlineLevel="0" collapsed="false">
      <c r="C91" s="1" t="s">
        <v>11</v>
      </c>
      <c r="M91" s="1" t="s">
        <v>99</v>
      </c>
    </row>
    <row r="92" customFormat="false" ht="16" hidden="false" customHeight="true" outlineLevel="0" collapsed="false">
      <c r="C92" s="1" t="s">
        <v>12</v>
      </c>
      <c r="F92" s="1" t="s">
        <v>97</v>
      </c>
      <c r="H92" s="1" t="s">
        <v>97</v>
      </c>
      <c r="M92" s="1" t="s">
        <v>100</v>
      </c>
    </row>
    <row r="93" customFormat="false" ht="16" hidden="false" customHeight="true" outlineLevel="0" collapsed="false">
      <c r="C93" s="1" t="s">
        <v>14</v>
      </c>
      <c r="F93" s="1" t="s">
        <v>97</v>
      </c>
      <c r="H93" s="1" t="s">
        <v>98</v>
      </c>
      <c r="M93" s="1" t="s">
        <v>101</v>
      </c>
    </row>
    <row r="94" customFormat="false" ht="16" hidden="false" customHeight="true" outlineLevel="0" collapsed="false">
      <c r="M94" s="1" t="s">
        <v>102</v>
      </c>
    </row>
    <row r="95" customFormat="false" ht="16" hidden="false" customHeight="true" outlineLevel="0" collapsed="false">
      <c r="C95" s="1" t="s">
        <v>18</v>
      </c>
      <c r="M95" s="1" t="s">
        <v>103</v>
      </c>
    </row>
    <row r="96" customFormat="false" ht="16" hidden="false" customHeight="true" outlineLevel="0" collapsed="false">
      <c r="C96" s="1" t="s">
        <v>20</v>
      </c>
      <c r="F96" s="1" t="s">
        <v>98</v>
      </c>
      <c r="H96" s="1" t="s">
        <v>97</v>
      </c>
    </row>
    <row r="97" customFormat="false" ht="16" hidden="false" customHeight="true" outlineLevel="0" collapsed="false">
      <c r="M97" s="1" t="s">
        <v>104</v>
      </c>
    </row>
    <row r="98" customFormat="false" ht="16" hidden="false" customHeight="true" outlineLevel="0" collapsed="false">
      <c r="C98" s="1" t="s">
        <v>21</v>
      </c>
      <c r="M98" s="1" t="s">
        <v>64</v>
      </c>
    </row>
    <row r="99" customFormat="false" ht="16" hidden="false" customHeight="true" outlineLevel="0" collapsed="false">
      <c r="C99" s="1" t="s">
        <v>22</v>
      </c>
      <c r="F99" s="1" t="s">
        <v>97</v>
      </c>
      <c r="H99" s="1" t="s">
        <v>98</v>
      </c>
      <c r="M99" s="1" t="s">
        <v>65</v>
      </c>
    </row>
    <row r="100" customFormat="false" ht="16" hidden="false" customHeight="true" outlineLevel="0" collapsed="false">
      <c r="C100" s="1" t="s">
        <v>14</v>
      </c>
      <c r="F100" s="1" t="s">
        <v>98</v>
      </c>
      <c r="H100" s="1" t="s">
        <v>97</v>
      </c>
    </row>
    <row r="101" customFormat="false" ht="16" hidden="false" customHeight="true" outlineLevel="0" collapsed="false">
      <c r="C101" s="1" t="s">
        <v>24</v>
      </c>
      <c r="F101" s="1" t="s">
        <v>98</v>
      </c>
      <c r="H101" s="1" t="s">
        <v>97</v>
      </c>
    </row>
    <row r="102" customFormat="false" ht="16" hidden="false" customHeight="true" outlineLevel="0" collapsed="false">
      <c r="M102" s="1" t="s">
        <v>44</v>
      </c>
      <c r="O102" s="2" t="s">
        <v>67</v>
      </c>
      <c r="P102" s="2" t="s">
        <v>68</v>
      </c>
      <c r="Q102" s="2" t="s">
        <v>69</v>
      </c>
      <c r="R102" s="2" t="s">
        <v>70</v>
      </c>
    </row>
    <row r="103" customFormat="false" ht="16" hidden="false" customHeight="true" outlineLevel="0" collapsed="false">
      <c r="O103" s="2" t="s">
        <v>71</v>
      </c>
      <c r="P103" s="2" t="s">
        <v>72</v>
      </c>
    </row>
    <row r="104" customFormat="false" ht="16" hidden="false" customHeight="true" outlineLevel="0" collapsed="false"/>
    <row r="105" customFormat="false" ht="16" hidden="false" customHeight="true" outlineLevel="0" collapsed="false"/>
    <row r="106" customFormat="false" ht="16" hidden="false" customHeight="true" outlineLevel="0" collapsed="false">
      <c r="M106" s="1" t="s">
        <v>16</v>
      </c>
    </row>
    <row r="107" customFormat="false" ht="16" hidden="false" customHeight="true" outlineLevel="0" collapsed="false">
      <c r="M107" s="2" t="s">
        <v>50</v>
      </c>
      <c r="N107" s="1" t="s">
        <v>7</v>
      </c>
      <c r="O107" s="1" t="n">
        <v>8637</v>
      </c>
      <c r="P107" s="1" t="n">
        <v>3706</v>
      </c>
      <c r="Q107" s="1" t="n">
        <v>23050</v>
      </c>
    </row>
    <row r="108" customFormat="false" ht="16" hidden="false" customHeight="true" outlineLevel="0" collapsed="false">
      <c r="N108" s="1" t="s">
        <v>8</v>
      </c>
      <c r="O108" s="1" t="n">
        <v>9082</v>
      </c>
      <c r="P108" s="1" t="n">
        <v>5065</v>
      </c>
      <c r="Q108" s="1" t="n">
        <v>19512</v>
      </c>
      <c r="R108" s="1" t="n">
        <v>3080</v>
      </c>
    </row>
    <row r="109" customFormat="false" ht="16" hidden="false" customHeight="true" outlineLevel="0" collapsed="false">
      <c r="N109" s="1" t="s">
        <v>76</v>
      </c>
      <c r="O109" s="1" t="n">
        <v>8226</v>
      </c>
      <c r="P109" s="1" t="n">
        <v>3529</v>
      </c>
      <c r="Q109" s="1" t="n">
        <v>21945</v>
      </c>
      <c r="R109" s="1" t="n">
        <v>1405</v>
      </c>
    </row>
    <row r="110" customFormat="false" ht="16" hidden="false" customHeight="true" outlineLevel="0" collapsed="false">
      <c r="O110" s="3" t="s">
        <v>105</v>
      </c>
      <c r="P110" s="3" t="s">
        <v>106</v>
      </c>
      <c r="Q110" s="3" t="s">
        <v>107</v>
      </c>
    </row>
    <row r="111" customFormat="false" ht="16" hidden="false" customHeight="true" outlineLevel="0" collapsed="false"/>
    <row r="112" customFormat="false" ht="16" hidden="false" customHeight="true" outlineLevel="0" collapsed="false">
      <c r="M112" s="2" t="s">
        <v>51</v>
      </c>
      <c r="N112" s="1" t="s">
        <v>7</v>
      </c>
      <c r="O112" s="1" t="n">
        <v>9506</v>
      </c>
      <c r="P112" s="1" t="n">
        <v>4622</v>
      </c>
      <c r="Q112" s="1" t="n">
        <v>10315</v>
      </c>
    </row>
    <row r="113" customFormat="false" ht="16" hidden="false" customHeight="true" outlineLevel="0" collapsed="false">
      <c r="N113" s="1" t="s">
        <v>8</v>
      </c>
      <c r="O113" s="1" t="n">
        <v>10748</v>
      </c>
      <c r="P113" s="1" t="n">
        <v>2763</v>
      </c>
      <c r="Q113" s="1" t="n">
        <v>4814</v>
      </c>
      <c r="R113" s="1" t="n">
        <v>680</v>
      </c>
    </row>
    <row r="114" customFormat="false" ht="16" hidden="false" customHeight="true" outlineLevel="0" collapsed="false">
      <c r="N114" s="1" t="s">
        <v>76</v>
      </c>
      <c r="O114" s="1" t="n">
        <v>9053</v>
      </c>
      <c r="P114" s="1" t="n">
        <v>4401</v>
      </c>
      <c r="Q114" s="1" t="n">
        <v>9823</v>
      </c>
      <c r="R114" s="1" t="n">
        <v>276</v>
      </c>
    </row>
    <row r="115" customFormat="false" ht="16" hidden="false" customHeight="true" outlineLevel="0" collapsed="false">
      <c r="O115" s="3" t="s">
        <v>108</v>
      </c>
      <c r="P115" s="3" t="s">
        <v>109</v>
      </c>
      <c r="Q115" s="3" t="s">
        <v>110</v>
      </c>
    </row>
    <row r="116" customFormat="false" ht="16" hidden="false" customHeight="true" outlineLevel="0" collapsed="false"/>
    <row r="117" customFormat="false" ht="16" hidden="false" customHeight="true" outlineLevel="0" collapsed="false">
      <c r="M117" s="2" t="s">
        <v>53</v>
      </c>
      <c r="N117" s="1" t="s">
        <v>7</v>
      </c>
      <c r="O117" s="1" t="n">
        <v>5415</v>
      </c>
      <c r="P117" s="1" t="n">
        <v>1672</v>
      </c>
      <c r="Q117" s="1" t="n">
        <v>3747</v>
      </c>
    </row>
    <row r="118" customFormat="false" ht="16" hidden="false" customHeight="true" outlineLevel="0" collapsed="false">
      <c r="N118" s="1" t="s">
        <v>8</v>
      </c>
      <c r="O118" s="1" t="n">
        <v>3185</v>
      </c>
      <c r="P118" s="1" t="n">
        <v>1396</v>
      </c>
      <c r="Q118" s="1" t="n">
        <v>1749</v>
      </c>
      <c r="R118" s="1" t="n">
        <v>293</v>
      </c>
    </row>
    <row r="119" customFormat="false" ht="16" hidden="false" customHeight="true" outlineLevel="0" collapsed="false">
      <c r="N119" s="1" t="s">
        <v>76</v>
      </c>
      <c r="O119" s="1" t="n">
        <v>5156</v>
      </c>
      <c r="P119" s="1" t="n">
        <v>1592</v>
      </c>
      <c r="Q119" s="1" t="n">
        <v>3569</v>
      </c>
      <c r="R119" s="1" t="n">
        <v>106</v>
      </c>
    </row>
    <row r="120" customFormat="false" ht="16" hidden="false" customHeight="true" outlineLevel="0" collapsed="false">
      <c r="O120" s="3" t="s">
        <v>111</v>
      </c>
      <c r="P120" s="3" t="s">
        <v>112</v>
      </c>
      <c r="Q120" s="3" t="s">
        <v>113</v>
      </c>
    </row>
    <row r="121" customFormat="false" ht="16" hidden="false" customHeight="true" outlineLevel="0" collapsed="false"/>
    <row r="122" customFormat="false" ht="16" hidden="false" customHeight="true" outlineLevel="0" collapsed="false">
      <c r="M122" s="2" t="s">
        <v>91</v>
      </c>
      <c r="N122" s="1" t="s">
        <v>7</v>
      </c>
      <c r="O122" s="1" t="n">
        <v>4777</v>
      </c>
      <c r="P122" s="1" t="n">
        <v>1429</v>
      </c>
      <c r="Q122" s="1" t="n">
        <v>1078</v>
      </c>
    </row>
    <row r="123" customFormat="false" ht="16" hidden="false" customHeight="true" outlineLevel="0" collapsed="false">
      <c r="N123" s="1" t="s">
        <v>8</v>
      </c>
      <c r="O123" s="1" t="n">
        <v>3875</v>
      </c>
      <c r="P123" s="1" t="n">
        <v>746</v>
      </c>
      <c r="Q123" s="1" t="n">
        <v>351</v>
      </c>
      <c r="R123" s="3" t="s">
        <v>114</v>
      </c>
    </row>
    <row r="124" customFormat="false" ht="16" hidden="false" customHeight="true" outlineLevel="0" collapsed="false">
      <c r="N124" s="1" t="s">
        <v>76</v>
      </c>
      <c r="O124" s="1" t="n">
        <v>4550</v>
      </c>
      <c r="P124" s="1" t="n">
        <v>1361</v>
      </c>
      <c r="Q124" s="1" t="n">
        <v>1026</v>
      </c>
      <c r="R124" s="3" t="s">
        <v>114</v>
      </c>
    </row>
    <row r="125" customFormat="false" ht="16" hidden="false" customHeight="true" outlineLevel="0" collapsed="false">
      <c r="O125" s="3" t="s">
        <v>115</v>
      </c>
      <c r="P125" s="3" t="s">
        <v>116</v>
      </c>
      <c r="Q125" s="3" t="s">
        <v>117</v>
      </c>
    </row>
    <row r="126" customFormat="false" ht="16" hidden="false" customHeight="true" outlineLevel="0" collapsed="false"/>
    <row r="127" customFormat="false" ht="16" hidden="false" customHeight="true" outlineLevel="0" collapsed="false"/>
    <row r="128" customFormat="false" ht="16" hidden="false" customHeight="true" outlineLevel="0" collapsed="false">
      <c r="M128" s="1" t="s">
        <v>99</v>
      </c>
    </row>
    <row r="129" customFormat="false" ht="16" hidden="false" customHeight="true" outlineLevel="0" collapsed="false">
      <c r="M129" s="1" t="s">
        <v>100</v>
      </c>
    </row>
    <row r="130" customFormat="false" ht="16" hidden="false" customHeight="true" outlineLevel="0" collapsed="false">
      <c r="M130" s="1" t="s">
        <v>101</v>
      </c>
    </row>
    <row r="131" customFormat="false" ht="16" hidden="false" customHeight="true" outlineLevel="0" collapsed="false">
      <c r="M131" s="1" t="s">
        <v>102</v>
      </c>
    </row>
    <row r="132" customFormat="false" ht="16" hidden="false" customHeight="true" outlineLevel="0" collapsed="false">
      <c r="M132" s="1" t="s">
        <v>103</v>
      </c>
    </row>
    <row r="133" customFormat="false" ht="16" hidden="false" customHeight="true" outlineLevel="0" collapsed="false"/>
    <row r="134" customFormat="false" ht="16" hidden="false" customHeight="true" outlineLevel="0" collapsed="false">
      <c r="A134" s="1"/>
      <c r="B134" s="1"/>
      <c r="C134" s="1"/>
      <c r="D134" s="1"/>
      <c r="E134" s="1"/>
      <c r="F134" s="1"/>
      <c r="G134" s="7"/>
    </row>
    <row r="135" customFormat="false" ht="16" hidden="false" customHeight="true" outlineLevel="0" collapsed="false">
      <c r="A135" s="1"/>
      <c r="B135" s="1"/>
      <c r="C135" s="1"/>
      <c r="D135" s="1"/>
      <c r="E135" s="1"/>
      <c r="F135" s="1"/>
      <c r="G135" s="7"/>
    </row>
    <row r="136" customFormat="false" ht="16" hidden="false" customHeight="true" outlineLevel="0" collapsed="false"/>
    <row r="137" customFormat="false" ht="16" hidden="false" customHeight="true" outlineLevel="0" collapsed="false"/>
    <row r="138" customFormat="false" ht="16" hidden="false" customHeight="true" outlineLevel="0" collapsed="false"/>
    <row r="139" customFormat="false" ht="16" hidden="false" customHeight="true" outlineLevel="0" collapsed="false"/>
    <row r="140" customFormat="false" ht="16" hidden="false" customHeight="true" outlineLevel="0" collapsed="false"/>
    <row r="141" customFormat="false" ht="16" hidden="false" customHeight="true" outlineLevel="0" collapsed="false">
      <c r="M141" s="1" t="s">
        <v>118</v>
      </c>
      <c r="O141" s="1" t="s">
        <v>119</v>
      </c>
      <c r="Q141" s="2" t="s">
        <v>120</v>
      </c>
      <c r="R141" s="2" t="s">
        <v>121</v>
      </c>
    </row>
    <row r="142" customFormat="false" ht="16" hidden="false" customHeight="true" outlineLevel="0" collapsed="false">
      <c r="O142" s="3" t="s">
        <v>122</v>
      </c>
      <c r="Q142" s="2" t="s">
        <v>123</v>
      </c>
      <c r="R142" s="2" t="s">
        <v>123</v>
      </c>
    </row>
    <row r="143" customFormat="false" ht="16" hidden="false" customHeight="true" outlineLevel="0" collapsed="false">
      <c r="Q143" s="2" t="s">
        <v>124</v>
      </c>
      <c r="R143" s="2" t="s">
        <v>125</v>
      </c>
    </row>
    <row r="144" customFormat="false" ht="16" hidden="false" customHeight="true" outlineLevel="0" collapsed="false"/>
    <row r="145" customFormat="false" ht="16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 t="s">
        <v>126</v>
      </c>
      <c r="N145" s="1"/>
      <c r="O145" s="4" t="n">
        <v>1952</v>
      </c>
      <c r="P145" s="1"/>
      <c r="Q145" s="1" t="n">
        <v>250</v>
      </c>
      <c r="R145" s="5" t="n">
        <f aca="false">((O145)/(Q145*1000))*100</f>
        <v>0.7808</v>
      </c>
    </row>
    <row r="146" customFormat="false" ht="16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 t="s">
        <v>127</v>
      </c>
      <c r="N146" s="1"/>
      <c r="O146" s="4" t="n">
        <v>1827</v>
      </c>
      <c r="P146" s="1"/>
      <c r="Q146" s="1" t="n">
        <v>280</v>
      </c>
      <c r="R146" s="5" t="n">
        <f aca="false">((O146)/(Q146*1000))*100</f>
        <v>0.6525</v>
      </c>
    </row>
    <row r="147" customFormat="false" ht="16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 t="s">
        <v>128</v>
      </c>
      <c r="N147" s="1"/>
      <c r="O147" s="4" t="n">
        <v>992</v>
      </c>
      <c r="P147" s="1"/>
      <c r="Q147" s="1" t="n">
        <v>263</v>
      </c>
      <c r="R147" s="5" t="n">
        <f aca="false">((O147)/(Q147*1000))*100</f>
        <v>0.37718631</v>
      </c>
    </row>
    <row r="148" customFormat="false" ht="16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 t="s">
        <v>129</v>
      </c>
      <c r="N148" s="1"/>
      <c r="O148" s="4" t="n">
        <v>266</v>
      </c>
      <c r="P148" s="1"/>
      <c r="Q148" s="1" t="n">
        <v>48</v>
      </c>
      <c r="R148" s="5" t="n">
        <f aca="false">((O148)/(Q148*1000))*100</f>
        <v>0.55416667</v>
      </c>
    </row>
    <row r="149" customFormat="false" ht="16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 t="s">
        <v>130</v>
      </c>
      <c r="N149" s="1"/>
      <c r="O149" s="4" t="n">
        <v>378</v>
      </c>
      <c r="P149" s="1"/>
      <c r="Q149" s="1" t="n">
        <v>79</v>
      </c>
      <c r="R149" s="5" t="n">
        <f aca="false">((O149)/(Q149*1000))*100</f>
        <v>0.47848101</v>
      </c>
    </row>
    <row r="150" customFormat="false" ht="16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 t="s">
        <v>131</v>
      </c>
      <c r="N150" s="1"/>
      <c r="O150" s="4" t="n">
        <v>1059</v>
      </c>
      <c r="P150" s="1"/>
      <c r="Q150" s="1" t="n">
        <v>328</v>
      </c>
      <c r="R150" s="5" t="n">
        <f aca="false">((O150)/(Q150*1000))*100</f>
        <v>0.32286585</v>
      </c>
    </row>
    <row r="151" customFormat="false" ht="16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 t="s">
        <v>132</v>
      </c>
      <c r="N151" s="1"/>
      <c r="O151" s="4" t="n">
        <v>258</v>
      </c>
      <c r="P151" s="1"/>
      <c r="Q151" s="1" t="n">
        <v>31</v>
      </c>
      <c r="R151" s="5" t="n">
        <f aca="false">((O151)/(Q151*1000))*100</f>
        <v>0.83225806</v>
      </c>
    </row>
    <row r="152" customFormat="false" ht="16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 t="s">
        <v>133</v>
      </c>
      <c r="N152" s="1"/>
      <c r="O152" s="4" t="n">
        <v>288</v>
      </c>
      <c r="P152" s="1"/>
      <c r="Q152" s="1" t="n">
        <v>89</v>
      </c>
      <c r="R152" s="5" t="n">
        <f aca="false">((O152)/(Q152*1000))*100</f>
        <v>0.32359551</v>
      </c>
    </row>
    <row r="153" customFormat="false" ht="16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 t="s">
        <v>134</v>
      </c>
      <c r="N153" s="1"/>
      <c r="O153" s="4" t="n">
        <v>481</v>
      </c>
      <c r="P153" s="1"/>
      <c r="Q153" s="1"/>
      <c r="R153" s="5"/>
    </row>
    <row r="154" customFormat="false" ht="16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4"/>
      <c r="P154" s="1"/>
      <c r="Q154" s="1"/>
      <c r="R154" s="5"/>
    </row>
    <row r="155" customFormat="false" ht="16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 t="s">
        <v>19</v>
      </c>
      <c r="N155" s="1"/>
      <c r="O155" s="4" t="n">
        <f aca="false">SUM(O145:O153)</f>
        <v>7501</v>
      </c>
      <c r="P155" s="1"/>
      <c r="Q155" s="4" t="n">
        <f aca="false">SUM(Q145:Q153)</f>
        <v>1368</v>
      </c>
      <c r="R155" s="5" t="n">
        <f aca="false">((O155)/(Q155*1000))*100</f>
        <v>0.54831871</v>
      </c>
    </row>
    <row r="156" customFormat="false" ht="16" hidden="false" customHeight="true" outlineLevel="0" collapsed="false"/>
    <row r="157" customFormat="false" ht="16" hidden="false" customHeight="true" outlineLevel="0" collapsed="false"/>
    <row r="158" customFormat="false" ht="16" hidden="false" customHeight="true" outlineLevel="0" collapsed="false"/>
    <row r="159" customFormat="false" ht="16" hidden="false" customHeight="true" outlineLevel="0" collapsed="false"/>
    <row r="160" customFormat="false" ht="16" hidden="false" customHeight="true" outlineLevel="0" collapsed="false"/>
    <row r="161" customFormat="false" ht="16" hidden="false" customHeight="true" outlineLevel="0" collapsed="false"/>
    <row r="162" customFormat="false" ht="16" hidden="false" customHeight="true" outlineLevel="0" collapsed="false"/>
    <row r="163" customFormat="false" ht="16" hidden="false" customHeight="true" outlineLevel="0" collapsed="false"/>
    <row r="164" customFormat="false" ht="16" hidden="false" customHeight="true" outlineLevel="0" collapsed="false"/>
    <row r="165" customFormat="false" ht="16" hidden="false" customHeight="true" outlineLevel="0" collapsed="false"/>
    <row r="166" customFormat="false" ht="16" hidden="false" customHeight="true" outlineLevel="0" collapsed="false"/>
    <row r="167" customFormat="false" ht="16" hidden="false" customHeight="true" outlineLevel="0" collapsed="false"/>
    <row r="168" customFormat="false" ht="16" hidden="false" customHeight="true" outlineLevel="0" collapsed="false"/>
    <row r="169" customFormat="false" ht="16" hidden="false" customHeight="true" outlineLevel="0" collapsed="false"/>
    <row r="170" customFormat="false" ht="16" hidden="false" customHeight="true" outlineLevel="0" collapsed="false"/>
    <row r="171" customFormat="false" ht="16" hidden="false" customHeight="true" outlineLevel="0" collapsed="false"/>
    <row r="172" customFormat="false" ht="16" hidden="false" customHeight="true" outlineLevel="0" collapsed="false"/>
    <row r="173" customFormat="false" ht="16" hidden="false" customHeight="true" outlineLevel="0" collapsed="false"/>
    <row r="174" customFormat="false" ht="16" hidden="false" customHeight="true" outlineLevel="0" collapsed="false"/>
    <row r="175" customFormat="false" ht="16" hidden="false" customHeight="true" outlineLevel="0" collapsed="false"/>
    <row r="176" customFormat="false" ht="16" hidden="false" customHeight="true" outlineLevel="0" collapsed="false"/>
    <row r="177" customFormat="false" ht="16" hidden="false" customHeight="true" outlineLevel="0" collapsed="false"/>
    <row r="178" customFormat="false" ht="16" hidden="false" customHeight="true" outlineLevel="0" collapsed="false"/>
    <row r="179" customFormat="false" ht="16" hidden="false" customHeight="true" outlineLevel="0" collapsed="false"/>
    <row r="180" customFormat="false" ht="16" hidden="false" customHeight="true" outlineLevel="0" collapsed="false"/>
    <row r="181" customFormat="false" ht="16" hidden="false" customHeight="true" outlineLevel="0" collapsed="false"/>
    <row r="182" customFormat="false" ht="16" hidden="false" customHeight="true" outlineLevel="0" collapsed="false"/>
    <row r="183" customFormat="false" ht="16" hidden="false" customHeight="true" outlineLevel="0" collapsed="false"/>
    <row r="184" customFormat="false" ht="16" hidden="false" customHeight="true" outlineLevel="0" collapsed="false"/>
    <row r="185" customFormat="false" ht="16" hidden="false" customHeight="true" outlineLevel="0" collapsed="false"/>
    <row r="186" customFormat="false" ht="16" hidden="false" customHeight="true" outlineLevel="0" collapsed="false"/>
    <row r="187" customFormat="false" ht="16" hidden="false" customHeight="true" outlineLevel="0" collapsed="false"/>
    <row r="188" customFormat="false" ht="16" hidden="false" customHeight="true" outlineLevel="0" collapsed="false"/>
    <row r="189" customFormat="false" ht="16" hidden="false" customHeight="true" outlineLevel="0" collapsed="false"/>
    <row r="190" customFormat="false" ht="16" hidden="false" customHeight="true" outlineLevel="0" collapsed="false"/>
    <row r="191" customFormat="false" ht="16" hidden="false" customHeight="true" outlineLevel="0" collapsed="false"/>
    <row r="192" customFormat="false" ht="16" hidden="false" customHeight="true" outlineLevel="0" collapsed="false"/>
    <row r="193" customFormat="false" ht="16" hidden="false" customHeight="true" outlineLevel="0" collapsed="false"/>
    <row r="194" customFormat="false" ht="16" hidden="false" customHeight="true" outlineLevel="0" collapsed="false"/>
    <row r="195" customFormat="false" ht="16" hidden="false" customHeight="true" outlineLevel="0" collapsed="false"/>
    <row r="196" customFormat="false" ht="16" hidden="false" customHeight="true" outlineLevel="0" collapsed="false"/>
    <row r="197" customFormat="false" ht="16" hidden="false" customHeight="true" outlineLevel="0" collapsed="false"/>
    <row r="198" customFormat="false" ht="16" hidden="false" customHeight="true" outlineLevel="0" collapsed="false"/>
    <row r="199" customFormat="false" ht="16" hidden="false" customHeight="true" outlineLevel="0" collapsed="false"/>
    <row r="200" customFormat="false" ht="16" hidden="false" customHeight="true" outlineLevel="0" collapsed="false"/>
    <row r="201" customFormat="false" ht="16" hidden="false" customHeight="true" outlineLevel="0" collapsed="false"/>
    <row r="202" customFormat="false" ht="16" hidden="false" customHeight="true" outlineLevel="0" collapsed="false"/>
    <row r="203" customFormat="false" ht="16" hidden="false" customHeight="true" outlineLevel="0" collapsed="false"/>
    <row r="204" customFormat="false" ht="16" hidden="false" customHeight="true" outlineLevel="0" collapsed="false"/>
    <row r="205" customFormat="false" ht="16" hidden="false" customHeight="true" outlineLevel="0" collapsed="false"/>
    <row r="206" customFormat="false" ht="16" hidden="false" customHeight="true" outlineLevel="0" collapsed="false"/>
    <row r="207" customFormat="false" ht="16" hidden="false" customHeight="true" outlineLevel="0" collapsed="false"/>
    <row r="208" customFormat="false" ht="16" hidden="false" customHeight="true" outlineLevel="0" collapsed="false"/>
    <row r="209" customFormat="false" ht="16" hidden="false" customHeight="true" outlineLevel="0" collapsed="false"/>
    <row r="210" customFormat="false" ht="16" hidden="false" customHeight="true" outlineLevel="0" collapsed="false"/>
    <row r="211" customFormat="false" ht="16" hidden="false" customHeight="true" outlineLevel="0" collapsed="false"/>
    <row r="212" customFormat="false" ht="16" hidden="false" customHeight="true" outlineLevel="0" collapsed="false"/>
    <row r="213" customFormat="false" ht="16" hidden="false" customHeight="true" outlineLevel="0" collapsed="false"/>
    <row r="214" customFormat="false" ht="16" hidden="false" customHeight="true" outlineLevel="0" collapsed="false"/>
    <row r="215" customFormat="false" ht="16" hidden="false" customHeight="true" outlineLevel="0" collapsed="false"/>
    <row r="216" customFormat="false" ht="16" hidden="false" customHeight="true" outlineLevel="0" collapsed="false"/>
    <row r="217" customFormat="false" ht="16" hidden="false" customHeight="true" outlineLevel="0" collapsed="false"/>
    <row r="218" customFormat="false" ht="16" hidden="false" customHeight="true" outlineLevel="0" collapsed="false"/>
    <row r="219" customFormat="false" ht="16" hidden="false" customHeight="true" outlineLevel="0" collapsed="false"/>
    <row r="220" customFormat="false" ht="16" hidden="false" customHeight="true" outlineLevel="0" collapsed="false"/>
    <row r="221" customFormat="false" ht="16" hidden="false" customHeight="true" outlineLevel="0" collapsed="false"/>
    <row r="222" customFormat="false" ht="16" hidden="false" customHeight="true" outlineLevel="0" collapsed="false"/>
    <row r="223" customFormat="false" ht="16" hidden="false" customHeight="true" outlineLevel="0" collapsed="false"/>
    <row r="224" customFormat="false" ht="16" hidden="false" customHeight="true" outlineLevel="0" collapsed="false"/>
    <row r="225" customFormat="false" ht="16" hidden="false" customHeight="true" outlineLevel="0" collapsed="false"/>
    <row r="226" customFormat="false" ht="16" hidden="false" customHeight="true" outlineLevel="0" collapsed="false"/>
    <row r="227" customFormat="false" ht="16" hidden="false" customHeight="true" outlineLevel="0" collapsed="false"/>
    <row r="228" customFormat="false" ht="16" hidden="false" customHeight="true" outlineLevel="0" collapsed="false"/>
    <row r="229" customFormat="false" ht="16" hidden="false" customHeight="true" outlineLevel="0" collapsed="false"/>
    <row r="230" customFormat="false" ht="16" hidden="false" customHeight="true" outlineLevel="0" collapsed="false"/>
    <row r="231" customFormat="false" ht="16" hidden="false" customHeight="true" outlineLevel="0" collapsed="false">
      <c r="A231" s="1"/>
      <c r="B231" s="1"/>
      <c r="C231" s="1"/>
      <c r="D231" s="1"/>
      <c r="E231" s="1"/>
      <c r="F231" s="1"/>
      <c r="G231" s="8"/>
    </row>
    <row r="232" customFormat="false" ht="16" hidden="false" customHeight="true" outlineLevel="0" collapsed="false"/>
    <row r="233" customFormat="false" ht="16" hidden="false" customHeight="true" outlineLevel="0" collapsed="false">
      <c r="A233" s="1"/>
      <c r="B233" s="1"/>
      <c r="C233" s="1"/>
      <c r="D233" s="1"/>
      <c r="E233" s="1"/>
      <c r="F233" s="1"/>
      <c r="G233" s="7"/>
    </row>
    <row r="234" customFormat="false" ht="16" hidden="false" customHeight="true" outlineLevel="0" collapsed="false"/>
    <row r="235" customFormat="false" ht="16" hidden="false" customHeight="true" outlineLevel="0" collapsed="false"/>
    <row r="236" customFormat="false" ht="16" hidden="false" customHeight="true" outlineLevel="0" collapsed="false"/>
    <row r="237" customFormat="false" ht="16" hidden="false" customHeight="true" outlineLevel="0" collapsed="false"/>
    <row r="238" customFormat="false" ht="16" hidden="false" customHeight="true" outlineLevel="0" collapsed="false"/>
    <row r="239" customFormat="false" ht="16" hidden="false" customHeight="true" outlineLevel="0" collapsed="false"/>
    <row r="240" customFormat="false" ht="16" hidden="false" customHeight="true" outlineLevel="0" collapsed="false"/>
    <row r="241" customFormat="false" ht="16" hidden="false" customHeight="true" outlineLevel="0" collapsed="false"/>
    <row r="242" customFormat="false" ht="16" hidden="false" customHeight="true" outlineLevel="0" collapsed="false"/>
    <row r="243" customFormat="false" ht="16" hidden="false" customHeight="true" outlineLevel="0" collapsed="false"/>
    <row r="244" customFormat="false" ht="16" hidden="false" customHeight="true" outlineLevel="0" collapsed="false"/>
    <row r="245" customFormat="false" ht="16" hidden="false" customHeight="true" outlineLevel="0" collapsed="false"/>
    <row r="246" customFormat="false" ht="16" hidden="false" customHeight="true" outlineLevel="0" collapsed="false"/>
    <row r="247" customFormat="false" ht="16" hidden="false" customHeight="true" outlineLevel="0" collapsed="false"/>
    <row r="248" customFormat="false" ht="16" hidden="false" customHeight="true" outlineLevel="0" collapsed="false"/>
    <row r="249" customFormat="false" ht="16" hidden="false" customHeight="true" outlineLevel="0" collapsed="false"/>
    <row r="250" customFormat="false" ht="16" hidden="false" customHeight="true" outlineLevel="0" collapsed="false"/>
    <row r="251" customFormat="false" ht="16" hidden="false" customHeight="true" outlineLevel="0" collapsed="false"/>
    <row r="252" customFormat="false" ht="16" hidden="false" customHeight="true" outlineLevel="0" collapsed="false"/>
    <row r="253" customFormat="false" ht="16" hidden="false" customHeight="true" outlineLevel="0" collapsed="false"/>
    <row r="254" customFormat="false" ht="16" hidden="false" customHeight="true" outlineLevel="0" collapsed="false"/>
    <row r="255" customFormat="false" ht="16" hidden="false" customHeight="true" outlineLevel="0" collapsed="false"/>
    <row r="256" customFormat="false" ht="16" hidden="false" customHeight="true" outlineLevel="0" collapsed="false"/>
    <row r="257" customFormat="false" ht="16" hidden="false" customHeight="true" outlineLevel="0" collapsed="false"/>
    <row r="258" customFormat="false" ht="16" hidden="false" customHeight="true" outlineLevel="0" collapsed="false"/>
    <row r="259" customFormat="false" ht="16" hidden="false" customHeight="true" outlineLevel="0" collapsed="false"/>
    <row r="260" customFormat="false" ht="16" hidden="false" customHeight="true" outlineLevel="0" collapsed="false"/>
    <row r="261" customFormat="false" ht="16" hidden="false" customHeight="true" outlineLevel="0" collapsed="false"/>
    <row r="262" customFormat="false" ht="16" hidden="false" customHeight="true" outlineLevel="0" collapsed="false"/>
    <row r="263" customFormat="false" ht="16" hidden="false" customHeight="true" outlineLevel="0" collapsed="false"/>
    <row r="264" customFormat="false" ht="16" hidden="false" customHeight="true" outlineLevel="0" collapsed="false"/>
    <row r="265" customFormat="false" ht="16" hidden="false" customHeight="true" outlineLevel="0" collapsed="false"/>
    <row r="266" customFormat="false" ht="16" hidden="false" customHeight="true" outlineLevel="0" collapsed="false"/>
    <row r="267" customFormat="false" ht="16" hidden="false" customHeight="true" outlineLevel="0" collapsed="false"/>
    <row r="268" customFormat="false" ht="16" hidden="false" customHeight="true" outlineLevel="0" collapsed="false"/>
    <row r="269" customFormat="false" ht="16" hidden="false" customHeight="true" outlineLevel="0" collapsed="false"/>
    <row r="270" customFormat="false" ht="16" hidden="false" customHeight="true" outlineLevel="0" collapsed="false"/>
    <row r="271" customFormat="false" ht="16" hidden="false" customHeight="true" outlineLevel="0" collapsed="false"/>
    <row r="272" customFormat="false" ht="16" hidden="false" customHeight="true" outlineLevel="0" collapsed="false"/>
    <row r="273" customFormat="false" ht="16" hidden="false" customHeight="true" outlineLevel="0" collapsed="false"/>
    <row r="274" customFormat="false" ht="16" hidden="false" customHeight="true" outlineLevel="0" collapsed="false"/>
    <row r="275" customFormat="false" ht="16" hidden="false" customHeight="true" outlineLevel="0" collapsed="false"/>
    <row r="276" customFormat="false" ht="16" hidden="false" customHeight="true" outlineLevel="0" collapsed="false"/>
    <row r="277" customFormat="false" ht="16" hidden="false" customHeight="true" outlineLevel="0" collapsed="false"/>
    <row r="278" customFormat="false" ht="16" hidden="false" customHeight="true" outlineLevel="0" collapsed="false"/>
    <row r="279" customFormat="false" ht="16" hidden="false" customHeight="true" outlineLevel="0" collapsed="false"/>
    <row r="280" customFormat="false" ht="16" hidden="false" customHeight="true" outlineLevel="0" collapsed="false"/>
    <row r="281" customFormat="false" ht="16" hidden="false" customHeight="true" outlineLevel="0" collapsed="false"/>
    <row r="282" customFormat="false" ht="16" hidden="false" customHeight="true" outlineLevel="0" collapsed="false"/>
    <row r="283" customFormat="false" ht="16" hidden="false" customHeight="true" outlineLevel="0" collapsed="false"/>
    <row r="284" customFormat="false" ht="16" hidden="false" customHeight="true" outlineLevel="0" collapsed="false"/>
    <row r="285" customFormat="false" ht="16" hidden="false" customHeight="true" outlineLevel="0" collapsed="false"/>
    <row r="286" customFormat="false" ht="16" hidden="false" customHeight="true" outlineLevel="0" collapsed="false"/>
    <row r="287" customFormat="false" ht="16" hidden="false" customHeight="true" outlineLevel="0" collapsed="false"/>
    <row r="288" customFormat="false" ht="16" hidden="false" customHeight="true" outlineLevel="0" collapsed="false"/>
    <row r="289" customFormat="false" ht="16" hidden="false" customHeight="true" outlineLevel="0" collapsed="false"/>
    <row r="290" customFormat="false" ht="16" hidden="false" customHeight="true" outlineLevel="0" collapsed="false"/>
    <row r="291" customFormat="false" ht="16" hidden="false" customHeight="true" outlineLevel="0" collapsed="false"/>
    <row r="292" customFormat="false" ht="16" hidden="false" customHeight="true" outlineLevel="0" collapsed="false"/>
    <row r="293" customFormat="false" ht="16" hidden="false" customHeight="true" outlineLevel="0" collapsed="false"/>
    <row r="294" customFormat="false" ht="16" hidden="false" customHeight="true" outlineLevel="0" collapsed="false"/>
    <row r="295" customFormat="false" ht="16" hidden="false" customHeight="true" outlineLevel="0" collapsed="false"/>
    <row r="296" customFormat="false" ht="16" hidden="false" customHeight="true" outlineLevel="0" collapsed="false"/>
    <row r="297" customFormat="false" ht="16" hidden="false" customHeight="true" outlineLevel="0" collapsed="false"/>
    <row r="298" customFormat="false" ht="16" hidden="false" customHeight="true" outlineLevel="0" collapsed="false"/>
    <row r="299" customFormat="false" ht="16" hidden="false" customHeight="true" outlineLevel="0" collapsed="false"/>
    <row r="300" customFormat="false" ht="16" hidden="false" customHeight="true" outlineLevel="0" collapsed="false"/>
    <row r="301" customFormat="false" ht="16" hidden="false" customHeight="true" outlineLevel="0" collapsed="false"/>
    <row r="302" customFormat="false" ht="16" hidden="false" customHeight="true" outlineLevel="0" collapsed="false"/>
    <row r="303" customFormat="false" ht="16" hidden="false" customHeight="true" outlineLevel="0" collapsed="false"/>
    <row r="304" customFormat="false" ht="16" hidden="false" customHeight="true" outlineLevel="0" collapsed="false"/>
    <row r="305" customFormat="false" ht="16" hidden="false" customHeight="true" outlineLevel="0" collapsed="false"/>
    <row r="306" customFormat="false" ht="16" hidden="false" customHeight="true" outlineLevel="0" collapsed="false"/>
    <row r="307" customFormat="false" ht="16" hidden="false" customHeight="true" outlineLevel="0" collapsed="false"/>
    <row r="308" customFormat="false" ht="16" hidden="false" customHeight="true" outlineLevel="0" collapsed="false"/>
    <row r="309" customFormat="false" ht="16" hidden="false" customHeight="true" outlineLevel="0" collapsed="false"/>
    <row r="310" customFormat="false" ht="16" hidden="false" customHeight="true" outlineLevel="0" collapsed="false"/>
    <row r="311" customFormat="false" ht="16" hidden="false" customHeight="true" outlineLevel="0" collapsed="false"/>
    <row r="312" customFormat="false" ht="16" hidden="false" customHeight="true" outlineLevel="0" collapsed="false"/>
    <row r="313" customFormat="false" ht="16" hidden="false" customHeight="true" outlineLevel="0" collapsed="false"/>
    <row r="314" customFormat="false" ht="16" hidden="false" customHeight="true" outlineLevel="0" collapsed="false"/>
    <row r="315" customFormat="false" ht="16" hidden="false" customHeight="true" outlineLevel="0" collapsed="false"/>
    <row r="316" customFormat="false" ht="16" hidden="false" customHeight="true" outlineLevel="0" collapsed="false"/>
    <row r="317" customFormat="false" ht="16" hidden="false" customHeight="true" outlineLevel="0" collapsed="false"/>
    <row r="318" customFormat="false" ht="16" hidden="false" customHeight="true" outlineLevel="0" collapsed="false"/>
    <row r="319" customFormat="false" ht="16" hidden="false" customHeight="true" outlineLevel="0" collapsed="false"/>
    <row r="320" customFormat="false" ht="16" hidden="false" customHeight="true" outlineLevel="0" collapsed="false"/>
    <row r="321" customFormat="false" ht="16" hidden="false" customHeight="true" outlineLevel="0" collapsed="false"/>
    <row r="322" customFormat="false" ht="16" hidden="false" customHeight="true" outlineLevel="0" collapsed="false">
      <c r="A322" s="1"/>
      <c r="B322" s="1"/>
      <c r="C322" s="1"/>
      <c r="D322" s="5"/>
      <c r="E322" s="1"/>
      <c r="F322" s="5"/>
    </row>
    <row r="323" customFormat="false" ht="16" hidden="false" customHeight="true" outlineLevel="0" collapsed="false">
      <c r="A323" s="1"/>
      <c r="B323" s="1"/>
      <c r="C323" s="1"/>
      <c r="D323" s="5"/>
      <c r="E323" s="1"/>
      <c r="F323" s="5"/>
    </row>
    <row r="324" customFormat="false" ht="16" hidden="false" customHeight="true" outlineLevel="0" collapsed="false">
      <c r="A324" s="1"/>
      <c r="B324" s="1"/>
      <c r="C324" s="1"/>
      <c r="D324" s="5"/>
      <c r="E324" s="1"/>
      <c r="F324" s="5"/>
    </row>
    <row r="325" customFormat="false" ht="16" hidden="false" customHeight="true" outlineLevel="0" collapsed="false">
      <c r="A325" s="1"/>
      <c r="B325" s="1"/>
      <c r="C325" s="1"/>
      <c r="D325" s="5"/>
      <c r="E325" s="1"/>
      <c r="F325" s="5"/>
    </row>
    <row r="326" customFormat="false" ht="16" hidden="false" customHeight="true" outlineLevel="0" collapsed="false">
      <c r="A326" s="1"/>
      <c r="B326" s="1"/>
      <c r="C326" s="1"/>
      <c r="D326" s="5"/>
      <c r="E326" s="1"/>
      <c r="F326" s="5"/>
    </row>
    <row r="327" customFormat="false" ht="16" hidden="false" customHeight="true" outlineLevel="0" collapsed="false">
      <c r="A327" s="1"/>
      <c r="B327" s="1"/>
      <c r="C327" s="1"/>
      <c r="D327" s="5"/>
      <c r="E327" s="1"/>
      <c r="F327" s="5"/>
    </row>
    <row r="328" customFormat="false" ht="16" hidden="false" customHeight="true" outlineLevel="0" collapsed="false">
      <c r="A328" s="1"/>
      <c r="B328" s="1"/>
      <c r="C328" s="1"/>
      <c r="D328" s="5"/>
      <c r="E328" s="1"/>
      <c r="F328" s="5"/>
    </row>
    <row r="329" customFormat="false" ht="16" hidden="false" customHeight="true" outlineLevel="0" collapsed="false">
      <c r="A329" s="1"/>
      <c r="B329" s="1"/>
      <c r="C329" s="1"/>
      <c r="D329" s="5"/>
      <c r="E329" s="1"/>
      <c r="F329" s="5"/>
    </row>
    <row r="330" customFormat="false" ht="16" hidden="false" customHeight="true" outlineLevel="0" collapsed="false">
      <c r="A330" s="1"/>
      <c r="B330" s="1"/>
      <c r="C330" s="1"/>
      <c r="D330" s="5"/>
      <c r="E330" s="1"/>
      <c r="F330" s="5"/>
    </row>
    <row r="331" customFormat="false" ht="16" hidden="false" customHeight="true" outlineLevel="0" collapsed="false">
      <c r="A331" s="1"/>
      <c r="B331" s="1"/>
      <c r="C331" s="1"/>
      <c r="D331" s="5"/>
      <c r="E331" s="1"/>
      <c r="F331" s="5"/>
    </row>
    <row r="332" customFormat="false" ht="16" hidden="false" customHeight="true" outlineLevel="0" collapsed="false">
      <c r="A332" s="1"/>
      <c r="B332" s="1"/>
      <c r="C332" s="1"/>
      <c r="D332" s="5"/>
      <c r="E332" s="1"/>
      <c r="F332" s="5"/>
    </row>
    <row r="333" customFormat="false" ht="16" hidden="false" customHeight="true" outlineLevel="0" collapsed="false">
      <c r="A333" s="1"/>
      <c r="B333" s="1"/>
      <c r="C333" s="1"/>
      <c r="D333" s="5"/>
      <c r="E333" s="1"/>
      <c r="F333" s="5"/>
    </row>
    <row r="334" customFormat="false" ht="16" hidden="false" customHeight="true" outlineLevel="0" collapsed="false">
      <c r="A334" s="1"/>
      <c r="B334" s="1"/>
      <c r="C334" s="1"/>
      <c r="D334" s="5"/>
      <c r="E334" s="1"/>
      <c r="F334" s="5"/>
    </row>
    <row r="335" customFormat="false" ht="16" hidden="false" customHeight="true" outlineLevel="0" collapsed="false">
      <c r="A335" s="1"/>
      <c r="B335" s="1"/>
      <c r="C335" s="1"/>
      <c r="D335" s="5"/>
      <c r="E335" s="1"/>
      <c r="F335" s="5"/>
    </row>
    <row r="336" customFormat="false" ht="16" hidden="false" customHeight="true" outlineLevel="0" collapsed="false"/>
    <row r="337" customFormat="false" ht="16" hidden="false" customHeight="true" outlineLevel="0" collapsed="false"/>
    <row r="338" customFormat="false" ht="16" hidden="false" customHeight="true" outlineLevel="0" collapsed="false"/>
    <row r="339" customFormat="false" ht="16" hidden="false" customHeight="true" outlineLevel="0" collapsed="false"/>
    <row r="340" customFormat="false" ht="16" hidden="false" customHeight="true" outlineLevel="0" collapsed="false"/>
    <row r="341" customFormat="false" ht="16" hidden="false" customHeight="true" outlineLevel="0" collapsed="false"/>
    <row r="342" customFormat="false" ht="16" hidden="false" customHeight="true" outlineLevel="0" collapsed="false"/>
    <row r="343" customFormat="false" ht="16" hidden="false" customHeight="true" outlineLevel="0" collapsed="false"/>
    <row r="344" customFormat="false" ht="16" hidden="false" customHeight="true" outlineLevel="0" collapsed="false"/>
    <row r="345" customFormat="false" ht="16" hidden="false" customHeight="true" outlineLevel="0" collapsed="false"/>
    <row r="346" customFormat="false" ht="16" hidden="false" customHeight="true" outlineLevel="0" collapsed="false"/>
    <row r="347" customFormat="false" ht="16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6"/>
    </row>
    <row r="348" customFormat="false" ht="16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6"/>
    </row>
    <row r="349" customFormat="false" ht="16" hidden="false" customHeight="true" outlineLevel="0" collapsed="false">
      <c r="A349" s="1"/>
      <c r="B349" s="1"/>
      <c r="C349" s="6"/>
      <c r="D349" s="6"/>
      <c r="E349" s="6"/>
      <c r="F349" s="6"/>
      <c r="G349" s="6"/>
      <c r="H349" s="6"/>
      <c r="I349" s="6"/>
    </row>
    <row r="350" customFormat="false" ht="16" hidden="false" customHeight="true" outlineLevel="0" collapsed="false">
      <c r="A350" s="1"/>
      <c r="B350" s="1"/>
      <c r="C350" s="6"/>
      <c r="D350" s="6"/>
      <c r="E350" s="6"/>
      <c r="F350" s="6"/>
      <c r="G350" s="6"/>
      <c r="H350" s="6"/>
      <c r="I350" s="6"/>
    </row>
    <row r="351" customFormat="false" ht="16" hidden="false" customHeight="true" outlineLevel="0" collapsed="false">
      <c r="A351" s="1"/>
      <c r="B351" s="1"/>
      <c r="C351" s="6"/>
      <c r="D351" s="6"/>
      <c r="E351" s="6"/>
      <c r="F351" s="6"/>
      <c r="G351" s="6"/>
      <c r="H351" s="6"/>
      <c r="I351" s="6"/>
    </row>
    <row r="352" customFormat="false" ht="16" hidden="false" customHeight="true" outlineLevel="0" collapsed="false">
      <c r="A352" s="1"/>
      <c r="B352" s="1"/>
      <c r="C352" s="6"/>
      <c r="D352" s="6"/>
      <c r="E352" s="6"/>
      <c r="F352" s="6"/>
      <c r="G352" s="6"/>
      <c r="H352" s="6"/>
      <c r="I352" s="6"/>
    </row>
    <row r="353" customFormat="false" ht="16" hidden="false" customHeight="true" outlineLevel="0" collapsed="false">
      <c r="A353" s="1"/>
      <c r="B353" s="1"/>
      <c r="C353" s="6"/>
      <c r="D353" s="6"/>
      <c r="E353" s="6"/>
      <c r="F353" s="6"/>
      <c r="G353" s="6"/>
      <c r="H353" s="6"/>
      <c r="I353" s="6"/>
    </row>
    <row r="354" customFormat="false" ht="16" hidden="false" customHeight="true" outlineLevel="0" collapsed="false">
      <c r="A354" s="1"/>
      <c r="B354" s="1"/>
      <c r="C354" s="6"/>
      <c r="D354" s="6"/>
      <c r="E354" s="6"/>
      <c r="F354" s="6"/>
      <c r="G354" s="6"/>
      <c r="H354" s="6"/>
      <c r="I354" s="6"/>
    </row>
    <row r="355" customFormat="false" ht="16" hidden="false" customHeight="true" outlineLevel="0" collapsed="false">
      <c r="A355" s="1"/>
      <c r="B355" s="1"/>
      <c r="C355" s="6"/>
      <c r="D355" s="6"/>
      <c r="E355" s="6"/>
      <c r="F355" s="6"/>
      <c r="G355" s="6"/>
      <c r="H355" s="6"/>
      <c r="I355" s="6"/>
    </row>
    <row r="356" customFormat="false" ht="16" hidden="false" customHeight="true" outlineLevel="0" collapsed="false">
      <c r="A356" s="1"/>
      <c r="B356" s="1"/>
      <c r="C356" s="6"/>
      <c r="D356" s="6"/>
      <c r="E356" s="6"/>
      <c r="F356" s="6"/>
      <c r="G356" s="6"/>
      <c r="H356" s="6"/>
      <c r="I356" s="6"/>
    </row>
    <row r="357" customFormat="false" ht="16" hidden="false" customHeight="true" outlineLevel="0" collapsed="false">
      <c r="A357" s="1"/>
      <c r="B357" s="1"/>
      <c r="C357" s="6"/>
      <c r="D357" s="6"/>
      <c r="E357" s="6"/>
      <c r="F357" s="6"/>
      <c r="G357" s="6"/>
      <c r="H357" s="6"/>
      <c r="I357" s="6"/>
    </row>
    <row r="358" customFormat="false" ht="16" hidden="false" customHeight="true" outlineLevel="0" collapsed="false">
      <c r="A358" s="1"/>
      <c r="B358" s="1"/>
      <c r="C358" s="6"/>
      <c r="D358" s="6"/>
      <c r="E358" s="6"/>
      <c r="F358" s="6"/>
      <c r="G358" s="6"/>
      <c r="H358" s="6"/>
      <c r="I358" s="6"/>
    </row>
    <row r="359" customFormat="false" ht="16" hidden="false" customHeight="true" outlineLevel="0" collapsed="false">
      <c r="A359" s="1"/>
      <c r="B359" s="1"/>
      <c r="C359" s="6"/>
      <c r="D359" s="6"/>
      <c r="E359" s="6"/>
      <c r="F359" s="6"/>
      <c r="G359" s="6"/>
      <c r="H359" s="6"/>
      <c r="I359" s="6"/>
    </row>
    <row r="360" customFormat="false" ht="16" hidden="false" customHeight="true" outlineLevel="0" collapsed="false">
      <c r="A360" s="1"/>
      <c r="B360" s="1"/>
      <c r="C360" s="6"/>
      <c r="D360" s="6"/>
      <c r="E360" s="6"/>
      <c r="F360" s="6"/>
      <c r="G360" s="6"/>
      <c r="H360" s="6"/>
      <c r="I360" s="6"/>
    </row>
    <row r="361" customFormat="false" ht="16" hidden="false" customHeight="true" outlineLevel="0" collapsed="false">
      <c r="A361" s="1"/>
      <c r="B361" s="1"/>
      <c r="C361" s="6"/>
      <c r="D361" s="6"/>
      <c r="E361" s="6"/>
      <c r="F361" s="6"/>
      <c r="G361" s="6"/>
      <c r="H361" s="6"/>
      <c r="I361" s="6"/>
    </row>
    <row r="362" customFormat="false" ht="16" hidden="false" customHeight="true" outlineLevel="0" collapsed="false">
      <c r="A362" s="1"/>
      <c r="B362" s="1"/>
      <c r="C362" s="6"/>
      <c r="D362" s="6"/>
      <c r="E362" s="6"/>
      <c r="F362" s="6"/>
      <c r="G362" s="6"/>
      <c r="H362" s="6"/>
      <c r="I362" s="6"/>
    </row>
    <row r="363" customFormat="false" ht="16" hidden="false" customHeight="true" outlineLevel="0" collapsed="false">
      <c r="A363" s="1"/>
      <c r="B363" s="1"/>
      <c r="C363" s="6"/>
      <c r="D363" s="6"/>
      <c r="E363" s="6"/>
      <c r="F363" s="6"/>
      <c r="G363" s="6"/>
      <c r="H363" s="6"/>
      <c r="I363" s="6"/>
    </row>
    <row r="364" customFormat="false" ht="16" hidden="false" customHeight="true" outlineLevel="0" collapsed="false">
      <c r="A364" s="1"/>
      <c r="B364" s="1"/>
      <c r="C364" s="6"/>
      <c r="D364" s="6"/>
      <c r="E364" s="6"/>
      <c r="F364" s="6"/>
      <c r="G364" s="6"/>
      <c r="H364" s="6"/>
      <c r="I364" s="6"/>
    </row>
    <row r="365" customFormat="false" ht="16" hidden="false" customHeight="true" outlineLevel="0" collapsed="false">
      <c r="A365" s="1"/>
      <c r="B365" s="1"/>
      <c r="C365" s="6"/>
      <c r="D365" s="6"/>
      <c r="E365" s="6"/>
      <c r="F365" s="6"/>
      <c r="G365" s="6"/>
      <c r="H365" s="6"/>
      <c r="I365" s="6"/>
    </row>
    <row r="366" customFormat="false" ht="16" hidden="false" customHeight="true" outlineLevel="0" collapsed="false">
      <c r="A366" s="1"/>
      <c r="B366" s="1"/>
      <c r="C366" s="6"/>
      <c r="D366" s="6"/>
      <c r="E366" s="6"/>
      <c r="F366" s="6"/>
      <c r="G366" s="6"/>
      <c r="H366" s="6"/>
      <c r="I366" s="6"/>
    </row>
    <row r="367" customFormat="false" ht="16" hidden="false" customHeight="true" outlineLevel="0" collapsed="false">
      <c r="A367" s="1"/>
      <c r="B367" s="1"/>
      <c r="C367" s="6"/>
      <c r="D367" s="6"/>
      <c r="E367" s="6"/>
      <c r="F367" s="6"/>
      <c r="G367" s="6"/>
      <c r="H367" s="6"/>
      <c r="I367" s="6"/>
    </row>
    <row r="368" customFormat="false" ht="16" hidden="false" customHeight="true" outlineLevel="0" collapsed="false">
      <c r="A368" s="1"/>
      <c r="B368" s="1"/>
      <c r="C368" s="6"/>
      <c r="D368" s="6"/>
      <c r="E368" s="6"/>
      <c r="F368" s="6"/>
      <c r="G368" s="6"/>
      <c r="H368" s="6"/>
    </row>
    <row r="369" customFormat="false" ht="16" hidden="false" customHeight="true" outlineLevel="0" collapsed="false">
      <c r="A369" s="1"/>
      <c r="B369" s="1"/>
      <c r="C369" s="6"/>
      <c r="D369" s="6"/>
      <c r="E369" s="6"/>
      <c r="F369" s="6"/>
      <c r="G369" s="6"/>
      <c r="H369" s="6"/>
    </row>
    <row r="370" customFormat="false" ht="16" hidden="false" customHeight="true" outlineLevel="0" collapsed="false"/>
    <row r="371" customFormat="false" ht="16" hidden="false" customHeight="true" outlineLevel="0" collapsed="false"/>
    <row r="372" customFormat="false" ht="16" hidden="false" customHeight="true" outlineLevel="0" collapsed="false"/>
    <row r="373" customFormat="false" ht="16" hidden="false" customHeight="true" outlineLevel="0" collapsed="false"/>
    <row r="374" customFormat="false" ht="16" hidden="false" customHeight="true" outlineLevel="0" collapsed="false"/>
    <row r="375" customFormat="false" ht="16" hidden="false" customHeight="true" outlineLevel="0" collapsed="false"/>
    <row r="376" customFormat="false" ht="16" hidden="false" customHeight="true" outlineLevel="0" collapsed="false"/>
    <row r="377" customFormat="false" ht="16" hidden="false" customHeight="true" outlineLevel="0" collapsed="false"/>
    <row r="378" customFormat="false" ht="16" hidden="false" customHeight="true" outlineLevel="0" collapsed="false"/>
    <row r="379" customFormat="false" ht="16" hidden="false" customHeight="true" outlineLevel="0" collapsed="false"/>
    <row r="380" customFormat="false" ht="16" hidden="false" customHeight="true" outlineLevel="0" collapsed="false"/>
    <row r="381" customFormat="false" ht="16" hidden="false" customHeight="true" outlineLevel="0" collapsed="false"/>
    <row r="382" customFormat="false" ht="16" hidden="false" customHeight="true" outlineLevel="0" collapsed="false"/>
    <row r="383" customFormat="false" ht="16" hidden="false" customHeight="true" outlineLevel="0" collapsed="false"/>
    <row r="384" customFormat="false" ht="16" hidden="false" customHeight="true" outlineLevel="0" collapsed="false"/>
    <row r="385" customFormat="false" ht="16" hidden="false" customHeight="true" outlineLevel="0" collapsed="false"/>
    <row r="386" customFormat="false" ht="16" hidden="false" customHeight="true" outlineLevel="0" collapsed="false"/>
    <row r="387" customFormat="false" ht="16" hidden="false" customHeight="true" outlineLevel="0" collapsed="false"/>
    <row r="388" customFormat="false" ht="16" hidden="false" customHeight="true" outlineLevel="0" collapsed="false"/>
    <row r="389" customFormat="false" ht="16" hidden="false" customHeight="true" outlineLevel="0" collapsed="false"/>
    <row r="390" customFormat="false" ht="16" hidden="false" customHeight="true" outlineLevel="0" collapsed="false"/>
    <row r="391" customFormat="false" ht="16" hidden="false" customHeight="true" outlineLevel="0" collapsed="false"/>
    <row r="392" customFormat="false" ht="16" hidden="false" customHeight="true" outlineLevel="0" collapsed="false"/>
    <row r="393" customFormat="false" ht="16" hidden="false" customHeight="true" outlineLevel="0" collapsed="false"/>
    <row r="394" customFormat="false" ht="16" hidden="false" customHeight="true" outlineLevel="0" collapsed="false"/>
    <row r="395" customFormat="false" ht="16" hidden="false" customHeight="true" outlineLevel="0" collapsed="false"/>
    <row r="396" customFormat="false" ht="16" hidden="false" customHeight="true" outlineLevel="0" collapsed="false"/>
    <row r="397" customFormat="false" ht="16" hidden="false" customHeight="true" outlineLevel="0" collapsed="false"/>
    <row r="398" customFormat="false" ht="16" hidden="false" customHeight="true" outlineLevel="0" collapsed="false"/>
    <row r="399" customFormat="false" ht="16" hidden="false" customHeight="true" outlineLevel="0" collapsed="false"/>
    <row r="400" customFormat="false" ht="16" hidden="false" customHeight="true" outlineLevel="0" collapsed="false"/>
    <row r="401" customFormat="false" ht="16" hidden="false" customHeight="true" outlineLevel="0" collapsed="false"/>
    <row r="402" customFormat="false" ht="16" hidden="false" customHeight="true" outlineLevel="0" collapsed="false"/>
    <row r="403" customFormat="false" ht="16" hidden="false" customHeight="true" outlineLevel="0" collapsed="false">
      <c r="A403" s="1"/>
      <c r="B403" s="1"/>
      <c r="C403" s="1"/>
      <c r="D403" s="1"/>
      <c r="E403" s="1"/>
      <c r="F403" s="1"/>
      <c r="G403" s="5"/>
    </row>
    <row r="404" customFormat="false" ht="16" hidden="false" customHeight="true" outlineLevel="0" collapsed="false">
      <c r="A404" s="1"/>
      <c r="B404" s="1"/>
      <c r="C404" s="1"/>
      <c r="D404" s="1"/>
      <c r="E404" s="1"/>
      <c r="F404" s="1"/>
      <c r="G404" s="5"/>
    </row>
    <row r="405" customFormat="false" ht="16" hidden="false" customHeight="true" outlineLevel="0" collapsed="false"/>
    <row r="406" customFormat="false" ht="16" hidden="false" customHeight="true" outlineLevel="0" collapsed="false"/>
    <row r="407" customFormat="false" ht="16" hidden="false" customHeight="true" outlineLevel="0" collapsed="false"/>
    <row r="408" customFormat="false" ht="16" hidden="false" customHeight="true" outlineLevel="0" collapsed="false"/>
    <row r="409" customFormat="false" ht="16" hidden="false" customHeight="true" outlineLevel="0" collapsed="false"/>
    <row r="410" customFormat="false" ht="16" hidden="false" customHeight="true" outlineLevel="0" collapsed="false"/>
    <row r="411" customFormat="false" ht="16" hidden="false" customHeight="true" outlineLevel="0" collapsed="false"/>
    <row r="412" customFormat="false" ht="16" hidden="false" customHeight="true" outlineLevel="0" collapsed="false"/>
    <row r="413" customFormat="false" ht="16" hidden="false" customHeight="true" outlineLevel="0" collapsed="false"/>
    <row r="414" customFormat="false" ht="16" hidden="false" customHeight="true" outlineLevel="0" collapsed="false"/>
    <row r="415" customFormat="false" ht="16" hidden="false" customHeight="true" outlineLevel="0" collapsed="false"/>
    <row r="416" customFormat="false" ht="16" hidden="false" customHeight="true" outlineLevel="0" collapsed="false"/>
    <row r="417" customFormat="false" ht="16" hidden="false" customHeight="true" outlineLevel="0" collapsed="false"/>
    <row r="418" customFormat="false" ht="16" hidden="false" customHeight="true" outlineLevel="0" collapsed="false"/>
    <row r="419" customFormat="false" ht="16" hidden="false" customHeight="true" outlineLevel="0" collapsed="false"/>
    <row r="420" customFormat="false" ht="16" hidden="false" customHeight="true" outlineLevel="0" collapsed="false">
      <c r="A420" s="1"/>
      <c r="B420" s="1"/>
      <c r="C420" s="1"/>
      <c r="D420" s="5"/>
      <c r="E420" s="1"/>
      <c r="F420" s="5"/>
    </row>
    <row r="421" customFormat="false" ht="16" hidden="false" customHeight="true" outlineLevel="0" collapsed="false">
      <c r="A421" s="1"/>
      <c r="B421" s="1"/>
      <c r="C421" s="1"/>
      <c r="D421" s="5"/>
      <c r="E421" s="1"/>
      <c r="F421" s="5"/>
    </row>
    <row r="422" customFormat="false" ht="16" hidden="false" customHeight="true" outlineLevel="0" collapsed="false">
      <c r="A422" s="1"/>
      <c r="B422" s="1"/>
      <c r="C422" s="1"/>
      <c r="D422" s="5"/>
      <c r="E422" s="1"/>
      <c r="F422" s="5"/>
    </row>
    <row r="423" customFormat="false" ht="16" hidden="false" customHeight="true" outlineLevel="0" collapsed="false">
      <c r="A423" s="1"/>
      <c r="B423" s="1"/>
      <c r="C423" s="1"/>
      <c r="D423" s="5"/>
      <c r="E423" s="1"/>
      <c r="F423" s="5"/>
    </row>
    <row r="424" customFormat="false" ht="16" hidden="false" customHeight="true" outlineLevel="0" collapsed="false">
      <c r="A424" s="1"/>
      <c r="B424" s="1"/>
      <c r="C424" s="1"/>
      <c r="D424" s="5"/>
      <c r="E424" s="1"/>
      <c r="F424" s="5"/>
    </row>
    <row r="425" customFormat="false" ht="16" hidden="false" customHeight="true" outlineLevel="0" collapsed="false">
      <c r="A425" s="1"/>
      <c r="B425" s="1"/>
      <c r="C425" s="1"/>
      <c r="D425" s="5"/>
      <c r="E425" s="1"/>
      <c r="F425" s="5"/>
    </row>
    <row r="426" customFormat="false" ht="16" hidden="false" customHeight="true" outlineLevel="0" collapsed="false">
      <c r="A426" s="1"/>
      <c r="B426" s="1"/>
      <c r="C426" s="1"/>
      <c r="D426" s="5"/>
      <c r="E426" s="1"/>
      <c r="F426" s="5"/>
    </row>
    <row r="427" customFormat="false" ht="16" hidden="false" customHeight="true" outlineLevel="0" collapsed="false">
      <c r="A427" s="1"/>
      <c r="B427" s="1"/>
      <c r="C427" s="1"/>
      <c r="D427" s="5"/>
      <c r="E427" s="1"/>
      <c r="F427" s="5"/>
    </row>
    <row r="428" customFormat="false" ht="16" hidden="false" customHeight="true" outlineLevel="0" collapsed="false">
      <c r="A428" s="1"/>
      <c r="B428" s="1"/>
      <c r="C428" s="1"/>
      <c r="D428" s="5"/>
      <c r="E428" s="1"/>
      <c r="F428" s="5"/>
    </row>
    <row r="429" customFormat="false" ht="16" hidden="false" customHeight="true" outlineLevel="0" collapsed="false">
      <c r="A429" s="1"/>
      <c r="B429" s="1"/>
      <c r="C429" s="1"/>
      <c r="D429" s="5"/>
      <c r="E429" s="1"/>
      <c r="F429" s="5"/>
    </row>
    <row r="430" customFormat="false" ht="16" hidden="false" customHeight="true" outlineLevel="0" collapsed="false">
      <c r="A430" s="1"/>
      <c r="B430" s="1"/>
      <c r="C430" s="1"/>
      <c r="D430" s="5"/>
      <c r="E430" s="1"/>
      <c r="F430" s="5"/>
    </row>
    <row r="431" customFormat="false" ht="16" hidden="false" customHeight="true" outlineLevel="0" collapsed="false">
      <c r="A431" s="1"/>
      <c r="B431" s="1"/>
      <c r="C431" s="1"/>
      <c r="D431" s="5"/>
      <c r="E431" s="1"/>
      <c r="F431" s="5"/>
    </row>
    <row r="432" customFormat="false" ht="16" hidden="false" customHeight="true" outlineLevel="0" collapsed="false">
      <c r="A432" s="1"/>
      <c r="B432" s="1"/>
      <c r="C432" s="1"/>
      <c r="D432" s="5"/>
      <c r="E432" s="1"/>
      <c r="F432" s="5"/>
    </row>
    <row r="433" customFormat="false" ht="16" hidden="false" customHeight="true" outlineLevel="0" collapsed="false">
      <c r="A433" s="1"/>
      <c r="B433" s="1"/>
      <c r="C433" s="1"/>
      <c r="D433" s="5"/>
      <c r="E433" s="1"/>
      <c r="F433" s="5"/>
    </row>
    <row r="434" customFormat="false" ht="16" hidden="false" customHeight="true" outlineLevel="0" collapsed="false">
      <c r="A434" s="1"/>
      <c r="B434" s="1"/>
      <c r="C434" s="1"/>
      <c r="D434" s="5"/>
      <c r="E434" s="1"/>
      <c r="F434" s="5"/>
    </row>
  </sheetData>
  <printOptions headings="false" gridLines="false" gridLinesSet="true" horizontalCentered="false" verticalCentered="false"/>
  <pageMargins left="36" right="36" top="36.7875" bottom="36.7875" header="36" footer="36"/>
  <pageSetup paperWidth="15545mm" paperHeight="20117mm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cp:revision>0</cp:revision>
  <dc:subject/>
  <dc:title/>
</cp:coreProperties>
</file>